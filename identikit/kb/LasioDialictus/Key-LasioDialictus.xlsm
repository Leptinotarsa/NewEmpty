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hidePivotFieldList="1"/>
  <mc:AlternateContent xmlns:mc="http://schemas.openxmlformats.org/markup-compatibility/2006">
    <mc:Choice Requires="x15">
      <x15ac:absPath xmlns:x15ac="http://schemas.microsoft.com/office/spreadsheetml/2010/11/ac" url="/Users/MSR2012/Documents/Tombiovis_WEB/NewEmpty/identikit/kb/LasioDialictus/"/>
    </mc:Choice>
  </mc:AlternateContent>
  <xr:revisionPtr revIDLastSave="0" documentId="13_ncr:1_{91F6D631-5D39-604B-954F-AAB25A4EB856}" xr6:coauthVersionLast="47" xr6:coauthVersionMax="47" xr10:uidLastSave="{00000000-0000-0000-0000-000000000000}"/>
  <bookViews>
    <workbookView xWindow="8960" yWindow="500" windowWidth="40960" windowHeight="22540" activeTab="3" xr2:uid="{00000000-000D-0000-FFFF-FFFF00000000}"/>
  </bookViews>
  <sheets>
    <sheet name="taxa" sheetId="16" r:id="rId1"/>
    <sheet name="characters" sheetId="26" r:id="rId2"/>
    <sheet name="values" sheetId="22" r:id="rId3"/>
    <sheet name="media" sheetId="30" r:id="rId4"/>
    <sheet name="config" sheetId="25" r:id="rId5"/>
    <sheet name="macros" sheetId="8" r:id="rId6"/>
    <sheet name="Notes" sheetId="29" r:id="rId7"/>
    <sheet name="Measurements" sheetId="31" r:id="rId8"/>
  </sheets>
  <definedNames>
    <definedName name="_xlchart.v1.0" hidden="1">Measurements!$I$20:$I$54</definedName>
    <definedName name="A" localSheetId="1">#REF!</definedName>
    <definedName name="A" localSheetId="4">#REF!</definedName>
    <definedName name="A" localSheetId="2">#REF!</definedName>
    <definedName name="A">#REF!</definedName>
    <definedName name="CheliceraSpur" localSheetId="1">#REF!</definedName>
    <definedName name="CheliceraSpur" localSheetId="4">#REF!</definedName>
    <definedName name="CheliceraSpur" localSheetId="2">#REF!</definedName>
    <definedName name="CheliceraSpur">#REF!</definedName>
    <definedName name="_xlnm.Print_Area" localSheetId="6">Notes!$E$31:$H$55</definedName>
    <definedName name="Top" localSheetId="6">Notes!#REF!</definedName>
    <definedName name="Top" localSheetId="0">taxa!#REF!</definedName>
  </definedNames>
  <calcPr calcId="191029"/>
  <pivotCaches>
    <pivotCache cacheId="0" r:id="rId9"/>
  </pivotCaches>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50" i="31" l="1"/>
  <c r="I149" i="31"/>
  <c r="I148" i="31"/>
  <c r="I147" i="31"/>
  <c r="I146" i="31"/>
  <c r="I145" i="31"/>
  <c r="I144" i="31"/>
  <c r="I143" i="31"/>
  <c r="I142" i="31"/>
  <c r="I141" i="31"/>
  <c r="I140" i="31"/>
  <c r="I139" i="31"/>
  <c r="L83" i="31"/>
  <c r="L138" i="31"/>
  <c r="I138" i="31"/>
  <c r="L137" i="31"/>
  <c r="I137" i="31"/>
  <c r="I136" i="31"/>
  <c r="L136" i="31"/>
  <c r="L135" i="31"/>
  <c r="I135" i="31"/>
  <c r="I134" i="31"/>
  <c r="L134" i="31"/>
  <c r="I133" i="31"/>
  <c r="L133" i="31"/>
  <c r="L132" i="31"/>
  <c r="I132" i="31"/>
  <c r="I131" i="31"/>
  <c r="L131" i="31"/>
  <c r="L130" i="31"/>
  <c r="I130" i="31"/>
  <c r="L129" i="31"/>
  <c r="I129" i="31"/>
  <c r="L128" i="31"/>
  <c r="I128" i="31"/>
  <c r="I127" i="31"/>
  <c r="L127" i="31"/>
  <c r="I126" i="31"/>
  <c r="L126" i="31"/>
  <c r="I125" i="31"/>
  <c r="L125" i="31"/>
  <c r="I124" i="31"/>
  <c r="L124" i="31"/>
  <c r="I123" i="31"/>
  <c r="L123" i="31"/>
  <c r="L122" i="31"/>
  <c r="I122" i="31"/>
  <c r="L121" i="31"/>
  <c r="I121" i="31"/>
  <c r="I120" i="31"/>
  <c r="L120" i="31"/>
  <c r="I119" i="31"/>
  <c r="L119" i="31"/>
  <c r="L117" i="31"/>
  <c r="I118" i="31"/>
  <c r="L116" i="31"/>
  <c r="I117" i="31"/>
  <c r="L115" i="31"/>
  <c r="L114" i="31"/>
  <c r="I116" i="31"/>
  <c r="L113" i="31"/>
  <c r="I115" i="31"/>
  <c r="I114" i="31"/>
  <c r="L112" i="31"/>
  <c r="I113" i="31"/>
  <c r="L111" i="31"/>
  <c r="I112" i="31"/>
  <c r="L110" i="31"/>
  <c r="I111" i="31"/>
  <c r="I110" i="31"/>
  <c r="L109" i="31"/>
  <c r="I109" i="31"/>
  <c r="M66" i="31"/>
  <c r="L107" i="31"/>
  <c r="I108" i="31"/>
  <c r="I107" i="31"/>
  <c r="L106" i="31"/>
  <c r="I106" i="31"/>
  <c r="I105" i="31"/>
  <c r="I104" i="31"/>
  <c r="L104" i="31"/>
  <c r="L105" i="31"/>
  <c r="I103" i="31"/>
  <c r="I102" i="31"/>
  <c r="L103" i="31"/>
  <c r="L102" i="31"/>
  <c r="I101" i="31"/>
  <c r="L101" i="31"/>
  <c r="I100" i="31"/>
  <c r="L100" i="31"/>
  <c r="I99" i="31"/>
  <c r="L99" i="31"/>
  <c r="L98" i="31"/>
  <c r="I98" i="31"/>
  <c r="I97" i="31"/>
  <c r="L97" i="31"/>
  <c r="I96" i="31"/>
  <c r="L96" i="31"/>
  <c r="I95" i="31"/>
  <c r="L95" i="31"/>
  <c r="L94" i="31"/>
  <c r="I94" i="31"/>
  <c r="L93" i="31"/>
  <c r="I93" i="31"/>
  <c r="L92" i="31"/>
  <c r="I92" i="31"/>
  <c r="L25" i="31"/>
  <c r="L21" i="31"/>
  <c r="L22" i="31"/>
  <c r="L23" i="31"/>
  <c r="L24" i="31"/>
  <c r="L20" i="31"/>
  <c r="M20" i="31"/>
  <c r="L61" i="31"/>
  <c r="I91" i="31"/>
  <c r="L91" i="31"/>
  <c r="L90" i="31"/>
  <c r="I89" i="31"/>
  <c r="I90" i="31"/>
  <c r="K5" i="31"/>
  <c r="L6" i="31" s="1"/>
  <c r="L89" i="31"/>
  <c r="L60" i="31"/>
  <c r="L59" i="31"/>
  <c r="L58" i="31"/>
  <c r="L57" i="31"/>
  <c r="L56" i="31"/>
  <c r="L84" i="31"/>
  <c r="L85" i="31"/>
  <c r="L86" i="31"/>
  <c r="L87" i="31"/>
  <c r="I88" i="31"/>
  <c r="I87" i="31"/>
  <c r="I86" i="31"/>
  <c r="I85" i="31"/>
  <c r="I84" i="31"/>
  <c r="I83" i="31"/>
  <c r="I81" i="31"/>
  <c r="I80" i="31"/>
  <c r="I79" i="31"/>
  <c r="I78" i="31"/>
  <c r="I77" i="31"/>
  <c r="I76" i="31"/>
  <c r="I75" i="31"/>
  <c r="I74" i="31"/>
  <c r="I73" i="31"/>
  <c r="I72" i="31"/>
  <c r="I71" i="31"/>
  <c r="I70" i="31"/>
  <c r="I69" i="31"/>
  <c r="I68" i="31"/>
  <c r="I67" i="31"/>
  <c r="I66" i="31"/>
  <c r="I65" i="31"/>
  <c r="I64" i="31"/>
  <c r="I63" i="31"/>
  <c r="I62" i="31"/>
  <c r="I61" i="31"/>
  <c r="I60" i="31"/>
  <c r="I59" i="31"/>
  <c r="I58" i="31"/>
  <c r="I57" i="31"/>
  <c r="I56" i="31"/>
  <c r="I82" i="31"/>
  <c r="I55" i="31"/>
  <c r="I54" i="31"/>
  <c r="I53" i="31"/>
  <c r="I49" i="31"/>
  <c r="I48" i="31"/>
  <c r="I47" i="31"/>
  <c r="I46" i="31"/>
  <c r="I52" i="31"/>
  <c r="I50" i="31"/>
  <c r="I45" i="31"/>
  <c r="I44" i="31"/>
  <c r="I43" i="31"/>
  <c r="I42" i="31"/>
  <c r="I51" i="31"/>
  <c r="I41" i="31"/>
  <c r="I21" i="31"/>
  <c r="I22" i="31"/>
  <c r="I23" i="31"/>
  <c r="I24" i="31"/>
  <c r="I25" i="31"/>
  <c r="I26" i="31"/>
  <c r="I27" i="31"/>
  <c r="I28" i="31"/>
  <c r="I29" i="31"/>
  <c r="I30" i="31"/>
  <c r="I31" i="31"/>
  <c r="I32" i="31"/>
  <c r="I33" i="31"/>
  <c r="I34" i="31"/>
  <c r="I35" i="31"/>
  <c r="I36" i="31"/>
  <c r="I37" i="31"/>
  <c r="I38" i="31"/>
  <c r="I39" i="31"/>
  <c r="I40" i="31"/>
  <c r="I20" i="31"/>
  <c r="I72" i="29"/>
  <c r="H72" i="29"/>
  <c r="M27" i="31" l="1"/>
</calcChain>
</file>

<file path=xl/sharedStrings.xml><?xml version="1.0" encoding="utf-8"?>
<sst xmlns="http://schemas.openxmlformats.org/spreadsheetml/2006/main" count="2341" uniqueCount="711">
  <si>
    <t>key</t>
  </si>
  <si>
    <t>Character</t>
  </si>
  <si>
    <t>Label</t>
  </si>
  <si>
    <t>Help</t>
  </si>
  <si>
    <t>Status</t>
  </si>
  <si>
    <t>ControlType</t>
  </si>
  <si>
    <t>Weight</t>
  </si>
  <si>
    <t>ValueType</t>
  </si>
  <si>
    <t>Group</t>
  </si>
  <si>
    <t>Taxon</t>
  </si>
  <si>
    <t>CharacterState</t>
  </si>
  <si>
    <t>StateHelp</t>
  </si>
  <si>
    <t>Type</t>
  </si>
  <si>
    <t>Params</t>
  </si>
  <si>
    <t>Saves the individual worksheets that comprise the knoweldgebase into separate CSV files.</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</si>
  <si>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</si>
  <si>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</si>
  <si>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</si>
  <si>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</si>
  <si>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</si>
  <si>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</si>
  <si>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</si>
  <si>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</si>
  <si>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</si>
  <si>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</si>
  <si>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</si>
  <si>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</si>
  <si>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</si>
  <si>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</si>
  <si>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</si>
  <si>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</si>
  <si>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</si>
  <si>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</si>
  <si>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</si>
  <si>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</si>
  <si>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</si>
  <si>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</si>
  <si>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</si>
  <si>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</si>
  <si>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This macro will get the unique values from a highlighted set of character states in the taxa sheet and put unique values to the clipboard. For single cells it will separate values using the separators|. It will also strip of (m) and (f) from the end of values.</t>
  </si>
  <si>
    <t>This macro will get the maximum and minimum values from a highlighted set of numeric character states in the taxa and put them in the clipboard. It copes with ranges.</t>
  </si>
  <si>
    <t>HelpShort</t>
  </si>
  <si>
    <t>StateHelpShort</t>
  </si>
  <si>
    <t>Latitude</t>
  </si>
  <si>
    <t>StateGroup</t>
  </si>
  <si>
    <r>
      <t>This version of the Identikit Excel template was released with</t>
    </r>
    <r>
      <rPr>
        <b/>
        <sz val="11"/>
        <color theme="1"/>
        <rFont val="Calibri"/>
        <family val="2"/>
        <scheme val="minor"/>
      </rPr>
      <t xml:space="preserve"> version 1.7.0 </t>
    </r>
    <r>
      <rPr>
        <sz val="11"/>
        <color theme="1"/>
        <rFont val="Calibri"/>
        <family val="2"/>
        <scheme val="minor"/>
      </rPr>
      <t xml:space="preserve">of the FSC Identikit. It incorporates changes from version 1.6.0, including a fix to prevent strange button resizing and a change to ensure that CSVs are generated with the UTF-8 character set (helping to eliminate problems with the display of non American-English characters.  If your knowledge-base is based on an older  Excel template, it may not have the same macro capability. You can upgrade to a new version of the Excel  template simply by copying a new template (biscuits.xlsm), renaming it and deleting all worksheets except this 'macros' worksheet, opening your old workbook and copying the five data worksheets across. A video showing how this can be done very simply can be seen here: </t>
    </r>
  </si>
  <si>
    <t>https://youtu.be/6E7Z9xewNng</t>
  </si>
  <si>
    <t>Modified by RB to complement version 1.7.0 release of Identikit.</t>
  </si>
  <si>
    <t>1.7.1</t>
  </si>
  <si>
    <t>Minor fix to add new media fields.</t>
  </si>
  <si>
    <t>1.8.0</t>
  </si>
  <si>
    <t>Minor changes.</t>
  </si>
  <si>
    <t>1.9.0</t>
  </si>
  <si>
    <t>head</t>
  </si>
  <si>
    <t>Corvallis, OR</t>
  </si>
  <si>
    <t>Complete</t>
  </si>
  <si>
    <t>Interrupted</t>
  </si>
  <si>
    <t>AbdColor</t>
  </si>
  <si>
    <t>Dark</t>
  </si>
  <si>
    <t>Absent</t>
  </si>
  <si>
    <t>Long</t>
  </si>
  <si>
    <t>Short</t>
  </si>
  <si>
    <t>Smooth</t>
  </si>
  <si>
    <t xml:space="preserve">abdomen </t>
  </si>
  <si>
    <t>thorax</t>
  </si>
  <si>
    <t>David Cappaert</t>
  </si>
  <si>
    <t>single</t>
  </si>
  <si>
    <t>GenaWidth</t>
  </si>
  <si>
    <t>HeadShape</t>
  </si>
  <si>
    <t>T2Patch</t>
  </si>
  <si>
    <t>T1Basal</t>
  </si>
  <si>
    <t>MesepiTexture</t>
  </si>
  <si>
    <t>PropEdge</t>
  </si>
  <si>
    <t>PropLength</t>
  </si>
  <si>
    <t>PropLatCar</t>
  </si>
  <si>
    <t>Det</t>
  </si>
  <si>
    <t>IAE100145</t>
  </si>
  <si>
    <t>Lasioglossum ruidosense</t>
  </si>
  <si>
    <t>barcode</t>
  </si>
  <si>
    <t>IAE100563</t>
  </si>
  <si>
    <t>Lasioglossum incompletum</t>
  </si>
  <si>
    <t>IAE100796</t>
  </si>
  <si>
    <t>Lasioglossum albipenne</t>
  </si>
  <si>
    <t>IAE100871</t>
  </si>
  <si>
    <t>Lasioglossum avalonense</t>
  </si>
  <si>
    <t>IAE104029</t>
  </si>
  <si>
    <r>
      <t>Lasioglossum villosulum</t>
    </r>
    <r>
      <rPr>
        <sz val="12"/>
        <color theme="1"/>
        <rFont val="Calibri"/>
        <family val="2"/>
        <scheme val="minor"/>
      </rPr>
      <t> </t>
    </r>
  </si>
  <si>
    <t>IAE108620</t>
  </si>
  <si>
    <r>
      <t>Lasioglossum cressonii</t>
    </r>
    <r>
      <rPr>
        <sz val="12"/>
        <color theme="1"/>
        <rFont val="Calibri"/>
        <family val="2"/>
        <scheme val="minor"/>
      </rPr>
      <t>.</t>
    </r>
  </si>
  <si>
    <t>IAE109167</t>
  </si>
  <si>
    <t>Lasioglossum ocultum</t>
  </si>
  <si>
    <t>ID</t>
  </si>
  <si>
    <t>Note</t>
  </si>
  <si>
    <t>Round</t>
  </si>
  <si>
    <t>LightTan</t>
  </si>
  <si>
    <t>DarkBrownBlack</t>
  </si>
  <si>
    <t>Small</t>
  </si>
  <si>
    <t>Rounded</t>
  </si>
  <si>
    <t>CarinaBroken</t>
  </si>
  <si>
    <t>CarinaComplete</t>
  </si>
  <si>
    <t>Genal width</t>
  </si>
  <si>
    <t>"Fan" of hairs on T1 facing thorax</t>
  </si>
  <si>
    <t>Lateral carina on posterior of propodeum</t>
  </si>
  <si>
    <t>Character of propodeal sculpturing</t>
  </si>
  <si>
    <t>MesoPits</t>
  </si>
  <si>
    <t>FaceColor</t>
  </si>
  <si>
    <t>Integument color on face</t>
  </si>
  <si>
    <t xml:space="preserve">From the side, ratio of gena to eye. </t>
  </si>
  <si>
    <t>Sculpturing does not reach posterior edge</t>
  </si>
  <si>
    <t>Absent, or less than half of propodum height</t>
  </si>
  <si>
    <t>Clearly more than half of height</t>
  </si>
  <si>
    <t>Sculpturing reaches within 10% of edge</t>
  </si>
  <si>
    <t>Identikit key: Weak-veined Lasioglossum of the Prairie Pollinator Project</t>
  </si>
  <si>
    <t>Pit spacing 2 or more diameters</t>
  </si>
  <si>
    <t>Pit spacing about 0.5 diameter</t>
  </si>
  <si>
    <t>Pit spacing about 1 diameters</t>
  </si>
  <si>
    <t>Brown or black</t>
  </si>
  <si>
    <t>PropSculpture</t>
  </si>
  <si>
    <t>Carina edge-edge</t>
  </si>
  <si>
    <t>Do the longest, medial striations reach the posterior edge of the propodeum?</t>
  </si>
  <si>
    <t>Area of appressed hairs on sides of T2</t>
  </si>
  <si>
    <t>Evenly round</t>
  </si>
  <si>
    <t>Convergence ventrally creates a tall appearance</t>
  </si>
  <si>
    <t>One</t>
  </si>
  <si>
    <t>Narrow</t>
  </si>
  <si>
    <t>Narrow|One</t>
  </si>
  <si>
    <t>Wide</t>
  </si>
  <si>
    <t>About the eye width</t>
  </si>
  <si>
    <t>Propodeal enclosure, carina on posterior edge</t>
  </si>
  <si>
    <t>Rounded, lacking a sharp posterior carina</t>
  </si>
  <si>
    <t>Carina distinct at edges, medially interrupted</t>
  </si>
  <si>
    <t>Difficult to quantify. In the photos, what is close?</t>
  </si>
  <si>
    <t>Head shape, impression</t>
  </si>
  <si>
    <t>Round|dunno</t>
  </si>
  <si>
    <t>GreenOrBlue</t>
  </si>
  <si>
    <t>Distinctly metallic, esp above antennae</t>
  </si>
  <si>
    <t>Mostly dark</t>
  </si>
  <si>
    <t>MesepiColor</t>
  </si>
  <si>
    <t>Color of integument on mesepisternum</t>
  </si>
  <si>
    <t>Greater than eye width. G/EYE &gt;1.1</t>
  </si>
  <si>
    <t>Less than eye width G/EYE &lt;0.9</t>
  </si>
  <si>
    <t>Closer to tawny; often with light/clear posterior edge of terga</t>
  </si>
  <si>
    <t>Medial gap between fans on either side</t>
  </si>
  <si>
    <t>Covered by fan</t>
  </si>
  <si>
    <t>URI</t>
  </si>
  <si>
    <t>SmallURI</t>
  </si>
  <si>
    <t>LargeURI</t>
  </si>
  <si>
    <t>ImageWidth</t>
  </si>
  <si>
    <t>Priority</t>
  </si>
  <si>
    <t>Caption</t>
  </si>
  <si>
    <t>State</t>
  </si>
  <si>
    <t>UseFor</t>
  </si>
  <si>
    <t>TipStyle</t>
  </si>
  <si>
    <t>#Taxon L. ruidosense</t>
  </si>
  <si>
    <t>https://photos.smugmug.com/Misc/n-WzFZFQ/95barcode-pix-IAEA-2022-1/i-QF3tGSz/0/117cf169/X3/IAE100145-X3.jpg</t>
  </si>
  <si>
    <t>image-web</t>
  </si>
  <si>
    <t>Lateral view, barcode specimen image</t>
  </si>
  <si>
    <t>https://photos.smugmug.com/Misc/n-WzFZFQ/ID-Key-dialictus/i-FbNHH8P/0/4156d10d/X4/Lasioglossum%20ruidosense%2Chead-X4.jpg</t>
  </si>
  <si>
    <t>https://photos.smugmug.com/Misc/n-WzFZFQ/ID-Key-dialictus/i-CsbW8dP/0/fc017522/X4/Lasioglossum%2Cthorax%2Cpropodeum%2Cruidosense-X4.jpg</t>
  </si>
  <si>
    <t>https://photos.smugmug.com/Misc/n-WzFZFQ/ID-Key-dialictus/i-zk8cwLX/0/7324de69/X4/Lasioglossum%2Cthorax%2Cscutum%2Cruidosense2-X4.jpg</t>
  </si>
  <si>
    <t>https://photos.smugmug.com/Misc/n-WzFZFQ/ID-Key-dialictus/i-3S2RcFR/0/bbc76095/X4/Lasioglossum%2Cabdomen%2Cruidosense%2C100145-X4.jpg</t>
  </si>
  <si>
    <t>#</t>
  </si>
  <si>
    <t>#Taxon L. incompletum</t>
  </si>
  <si>
    <t>https://photos.smugmug.com/Misc/n-WzFZFQ/95barcode-pix-IAEA-2022-1/i-XX58WqW/0/48a55fb1/X3/IAE100563-X3.jpg</t>
  </si>
  <si>
    <t>https://photos.smugmug.com/Misc/n-WzFZFQ/ID-Key-dialictus/i-Tb3JGd6/0/8df17a66/X4/Lasioglossum%20incompletum%2Cfemale%2Chead%2CIAE%20100563psd-X4.jpg</t>
  </si>
  <si>
    <t>https://photos.smugmug.com/Misc/n-WzFZFQ/ID-Key-dialictus/i-C8Mhw6V/0/ddbb9b31/X4/Lasioglossum%2Cthorax%2Cpropodeum%2Cflappy2-X4.jpg</t>
  </si>
  <si>
    <t>https://photos.smugmug.com/Misc/n-WzFZFQ/ID-Key-dialictus/i-KBWQDpS/0/d364d9de/X4/Lasioglossum%2Cthorax%2Cmesepi%2Cincompletum-X4.jpg</t>
  </si>
  <si>
    <t>https://photos.smugmug.com/Misc/n-WzFZFQ/ID-Key-dialictus/i-Rj9Z2fz/0/0ee0e9ad/X4/Lasioglossum%2Cthorax%2Cscutum%2Cincompletum-X4.jpg</t>
  </si>
  <si>
    <t>https://photos.smugmug.com/Misc/n-WzFZFQ/ID-Key-dialictus/i-DRjN85B/0/dcbb84d7/X4/Lasioglossum%2Cabdomen%2Cincompletum%2C100563-X4.jpg</t>
  </si>
  <si>
    <t>#Taxon L. albipenne</t>
  </si>
  <si>
    <t>https://photos.smugmug.com/Misc/n-WzFZFQ/95barcode-pix-IAEA-2022-1/i-LfkPcmv/0/3f5e05bf/X3/IAE100796-X3.jpg</t>
  </si>
  <si>
    <t>https://photos.smugmug.com/Misc/n-WzFZFQ/ID-Key-dialictus/i-KM4Ww4v/0/451255f5/X4/Lasioglossum%20albipenne%2Cfemale%2Chead-X4.jpg</t>
  </si>
  <si>
    <t>Face view</t>
  </si>
  <si>
    <t>https://photos.smugmug.com/Misc/n-WzFZFQ/ID-Key-dialictus/i-xnbSkfG/0/710c88f1/X5/Lasioglossum%2Cwing%2Cyellow%20veins%2Calbipenne-X5.jpg</t>
  </si>
  <si>
    <t>#Taxon L. avalonense</t>
  </si>
  <si>
    <t>https://photos.smugmug.com/Misc/n-WzFZFQ/95barcode-pix-IAEA-2022-1/i-bK7p2GZ/0/568b4dfb/X3/IAE100871-X3.jpg</t>
  </si>
  <si>
    <t>https://photos.smugmug.com/Misc/n-WzFZFQ/ID-Key-dialictus/i-tQZhqvX/0/b3186c84/X4/Lasioglossum%20avalonense%2Cfemale%2Chead%2CIAE%20100871-X4.jpg</t>
  </si>
  <si>
    <t>https://photos.smugmug.com/Misc/n-WzFZFQ/ID-Key-dialictus/i-T8JKFfz/0/e8929d85/X4/Lasioglossum%2Cthorax%2Cpropodeum%2Cavalosense-X4.jpg</t>
  </si>
  <si>
    <t>#below - mesepi, filename saus propodeum</t>
  </si>
  <si>
    <t>https://photos.smugmug.com/Misc/n-WzFZFQ/ID-Key-dialictus/i-Hjb2T3c/0/56008033/X5/Lasioglossum%2Cthorax%2Cpropodeum%2Cavolanense-X5.jpg</t>
  </si>
  <si>
    <t>https://photos.smugmug.com/Misc/n-WzFZFQ/95barcode-pix-IAEA-2022-1/i-jPhbKtN/0/c0491751/X3/IAE104029-X3.jpg</t>
  </si>
  <si>
    <t>https://photos.smugmug.com/Misc/n-WzFZFQ/ID-Key-dialictus/i-5txxF2d/0/e3ea2dc7/X4/Lasioglossum%20villosulum%2Cfemale%2Clateral-X4.jpg</t>
  </si>
  <si>
    <t>https://photos.smugmug.com/Misc/n-WzFZFQ/ID-Key-dialictus/i-wgRBtqb/0/6b268108/X4/Lasioglossum%2Cthorax%2Cpropodeum%2Cvillosulum-X4.jpg</t>
  </si>
  <si>
    <t>https://photos.smugmug.com/Misc/n-WzFZFQ/ID-Key-dialictus/i-NKqZHds/0/27f8d21e/X4/Lasioglossum%2Cthorax%2Cmesepisternum%2Cvillosulum-X4.jpg</t>
  </si>
  <si>
    <t>https://photos.smugmug.com/Misc/n-WzFZFQ/ID-Key-dialictus/i-HmhcjJq/0/a9005127/X5/2023-01-11%2017-39-03-X5.jpg</t>
  </si>
  <si>
    <t>#Taxon L. cressonii.</t>
  </si>
  <si>
    <t>https://photos.smugmug.com/Misc/n-WzFZFQ/95barcode-pix-IAEA-2022-1/i-sMxqQW6/0/3fe8bfb5/X3/IAE108620-X3.jpg</t>
  </si>
  <si>
    <t>https://photos.smugmug.com/Misc/n-WzFZFQ/ID-Key-dialictus/i-WWJW6xW/0/235181bf/X4/Lasioglossum%20cressonii%2Cfemale%2Chead%2CIAE%20108620-X4.jpg</t>
  </si>
  <si>
    <t xml:space="preserve">Note the spots of blue. </t>
  </si>
  <si>
    <t>https://photos.smugmug.com/Misc/n-WzFZFQ/ID-Key-dialictus/i-gKXGJjR/0/bc5a7588/X4/Lasioglossum%2Cthorax%2Cprop%20break%20in%20ctr%2Ccressonii-X4.jpg</t>
  </si>
  <si>
    <t>https://photos.smugmug.com/Misc/n-WzFZFQ/ID-Key-dialictus/i-WVcnHLW/0/6218a7eb/X4/Lasioglossum%2Cthorax%2Cmesepisternum%20rough%2Ccressonii-X4.jpg</t>
  </si>
  <si>
    <t>https://photos.smugmug.com/Misc/n-WzFZFQ/95barcode-pix-IAEA-2022-1/i-n5cDj2K/0/8be8d590/X3/IAE109167-X3.jpg</t>
  </si>
  <si>
    <t>https://photos.smugmug.com/Misc/n-WzFZFQ/ID-Key-dialictus/i-Lhxr3XZ/0/ac457d27/X4/Lasioglossum%20ocultum%2Cfemale%2Chead%2C109167-X4.jpg</t>
  </si>
  <si>
    <t>https://photos.smugmug.com/Misc/n-WzFZFQ/ID-Key-dialictus/i-JLSTFvw/0/8d870fce/X4/Lasioglossum%2Cthorax%2Cpropodeum%2Cocultum-X4.jpg</t>
  </si>
  <si>
    <t>https://photos.smugmug.com/Misc/n-WzFZFQ/ID-Key-dialictus/i-9TJXjpR/0/db3bb98e/X4/Lasioglossum%2Cthorax%2Cmesepisternum%2Cocultum-X4.jpg</t>
  </si>
  <si>
    <t>https://photos.smugmug.com/Misc/n-WzFZFQ/ID-Key-dialictus/i-JrjR67m/0/11cff786/X4/Lasioglossum%2Cthorax%2Cscutum%2Cocultum-X4.jpg</t>
  </si>
  <si>
    <t>https://photos.smugmug.com/Misc/n-WzFZFQ/ID-Key-dialictus/i-zq5Kc5b/0/d9b9d162/X4/Lasioglossum%2Chead%2Cgena%20.63xeye-X4.jpg</t>
  </si>
  <si>
    <t>L. albipenne</t>
  </si>
  <si>
    <t>#Head Shape</t>
  </si>
  <si>
    <t># Scutum pits</t>
  </si>
  <si>
    <t>https://photos.smugmug.com/Misc/n-WzFZFQ/ID-Key-dialictus/i-j7BcS8m/0/7faad351/X4/Lasioglossum%2Cthorax%2Cscutum%2Cflappy-X4.jpg</t>
  </si>
  <si>
    <t>https://photos.smugmug.com/Misc/n-WzFZFQ/ID-Key-dialictus/i-sK7jCdb/0/6790023e/X2/Lasioglossum%2Cthorax%2Cscutum%2Cpit%20spaceNEW%2Cavalosense-X2.jpg</t>
  </si>
  <si>
    <t>#MesepiTexture</t>
  </si>
  <si>
    <t>L. incompletum</t>
  </si>
  <si>
    <t>#MesepiColor</t>
  </si>
  <si>
    <t>https://photos.smugmug.com/Misc/n-WzFZFQ/ID-Key-dialictus/i-KBWQDpS/0/d364d9de/X5/Lasioglossum%2Cthorax%2Cmesepi%2Cincompletum-X5.jpg</t>
  </si>
  <si>
    <t>#Propodeum</t>
  </si>
  <si>
    <t>L. cressonii</t>
  </si>
  <si>
    <t>https://photos.smugmug.com/Misc/n-WzFZFQ/ID-Key-dialictus/i-6sVXCDW/0/00bcf820/X4/Lasioglossum%2Cthorax%2Cprop%20lateral%20carina%2Ctruncatum-X4.jpg</t>
  </si>
  <si>
    <t>L. truncatum</t>
  </si>
  <si>
    <t>https://photos.smugmug.com/Misc/n-WzFZFQ/ID-Key-dialictus/i-8xsS2Wg/0/d1a25082/X4/Lasioglossum%2Cthorax%2Cpropodeum%20carinate-X4.jpg</t>
  </si>
  <si>
    <t>https://photos.smugmug.com/Misc/n-WzFZFQ/ID-Key-dialictus/i-swMGQdD/0/d5880c5e/X4/Lasioglossum%2Cthorax%2Cprop%20rounded%2Ctrigeminum-X4.jpg</t>
  </si>
  <si>
    <t>L. trigeminum</t>
  </si>
  <si>
    <t>L. avalolonense</t>
  </si>
  <si>
    <t>#Abdomen</t>
  </si>
  <si>
    <t>https://photos.smugmug.com/Misc/n-WzFZFQ/ID-Key-dialictus/i-BS6xFtx/0/f0e9c315/X4/Lasioglossum%2CAbdomen%2C%20T1%2Cprone%20hair%20patch%2Cpilosum-X4.jpg</t>
  </si>
  <si>
    <t>L. pilosum</t>
  </si>
  <si>
    <t>https://photos.smugmug.com/Misc/n-WzFZFQ/ID-Key-dialictus/i-cGn7pCj/0/86270411/X4/Lasioglossum%2CAbdomen%2C%20T1%2Cfan%20interrupted%2Cpilosum-X4.jpg</t>
  </si>
  <si>
    <t>https://photos.smugmug.com/Misc/n-WzFZFQ/ID-Key-dialictus/i-FPfzdRg/0/a3c4f1c0/X4/Lasioglossum%2Cabdomen%2CT1%20complete%20fan%2C108203-X4.jpg</t>
  </si>
  <si>
    <t>https://photos.smugmug.com/Misc/n-WzFZFQ/ID-Key-dialictus/i-7QZ8ncq/0/8bcd7b52/X4/Lasioglossum%2Cabdomen%2CT1%20no%20fan-X4.jpg</t>
  </si>
  <si>
    <t>https://photos.smugmug.com/Misc/n-WzFZFQ/ID-Key-dialictus/i-rcKHbBG/0/f5bf3af6/X4/Lasioglossum%2Cabdomen%2Clight%20brown%2Cincompletum-X4.jpg</t>
  </si>
  <si>
    <t>#Head</t>
  </si>
  <si>
    <t>https://photos.smugmug.com/Misc/n-WzFZFQ/ID-Key-dialictus/i-kS8vLnC/0/bb786660/X4/Lasioglossum%2Chead%2Cgena%201.0xeye-X4.jpg</t>
  </si>
  <si>
    <t>https://photos.smugmug.com/Misc/n-WzFZFQ/ID-Key-dialictus/i-CGsf853/0/9e9e74f5/X4/Lasioglossum%2Chead%2Cgena%201.2xeye%2C103977-X4.jpg</t>
  </si>
  <si>
    <t>https://photos.smugmug.com/Misc/n-WzFZFQ/ID-Key-dialictus/i-9ds5FGQ/0/f75fad94/X3/HeadColor%20Dark%2Cocultum-X3.jpg</t>
  </si>
  <si>
    <t>https://photos.smugmug.com/Misc/n-WzFZFQ/ID-Key-dialictus/i-4rq7RVF/0/862b2891/X4/HeadColor%20Green%2Cincompletum-X4.jpg</t>
  </si>
  <si>
    <t>#Priority for taxon images:</t>
  </si>
  <si>
    <t># barcode pic, or better full specimen</t>
  </si>
  <si>
    <t>#head</t>
  </si>
  <si>
    <t>#thorax propodeum</t>
  </si>
  <si>
    <t>#thorax mesepi</t>
  </si>
  <si>
    <t>#thorax scutum</t>
  </si>
  <si>
    <t>MesoTexture</t>
  </si>
  <si>
    <t>Texture of scutum</t>
  </si>
  <si>
    <t>Integument beteen pits smooth or lightly textured; shiny or semi-glossy appearance</t>
  </si>
  <si>
    <t>Integument beteen pits marked with fine lines; dull appearance</t>
  </si>
  <si>
    <t>Light</t>
  </si>
  <si>
    <t>MesepiHair</t>
  </si>
  <si>
    <t>Color of hairs on lower mesepisternum</t>
  </si>
  <si>
    <t>White</t>
  </si>
  <si>
    <t>With some brown or yellow</t>
  </si>
  <si>
    <t>Definite patch of lateral appressed hairs</t>
  </si>
  <si>
    <t>Present</t>
  </si>
  <si>
    <t>https://photos.smugmug.com/Misc/n-WzFZFQ/ID-Key-dialictus/i-Xbb8kKp/0/86a86f55/X4/Lasioglossum%2Cabdomen%2Chairy%20T2%2C3%2Calbipenne%2C107037-X4.jpg</t>
  </si>
  <si>
    <t>T3-4Hairs</t>
  </si>
  <si>
    <t>https://photos.smugmug.com/Misc/n-WzFZFQ/ID-Key-dialictus/i-6NZrjSR/0/3759110e/X4/Lasioglossum%2Cabdomen%2Cintermediate%2Cavalonense-X4.jpg</t>
  </si>
  <si>
    <t>https://photos.smugmug.com/Misc/n-WzFZFQ/ID-Key-dialictus/i-JQrXb2T/0/b4e68a38/X4/Lasioglossum%2Cabdomen%2Coccultum%2C109888-X4.jpg</t>
  </si>
  <si>
    <t>https://photos.smugmug.com/Misc/n-WzFZFQ/ID-Key-dialictus/i-srSr3CB/0/3e24f94c/X4/Lasioglossum%2Cabdomen%2Cvillosulum-X4.jpg</t>
  </si>
  <si>
    <t>https://photos.smugmug.com/Misc/n-WzFZFQ/ID-Key-dialictus/i-DzXpR7m/0/3e421719/X4/Lasioglossum%2Cabdomen%2Cbetter%2Ccressonii%2C108620-X4.jpg</t>
  </si>
  <si>
    <t>https://photos.smugmug.com/Misc/n-WzFZFQ/ID-Key-dialictus/i-Dck9HDB/0/2f02d368/X4/Lasioglossum%2Cthorax%2Cscutum%2Ctruncatum-X4.jpg</t>
  </si>
  <si>
    <t>Lined</t>
  </si>
  <si>
    <t>https://photos.smugmug.com/Misc/n-WzFZFQ/ID-Key-dialictus/i-Bf837Dv/0/8d2ff174/X4/Lasioglossum%2Cthorax%2Cscutum%2Cpits%20dense-X4.jpg</t>
  </si>
  <si>
    <t>https://photos.smugmug.com/Misc/n-WzFZFQ/ID-Key-dialictus/i-dB75Jhp/0/09edd22c/X3/Lasioglossum%2Cthorax%2Cscutum%2Cshiny%2Cpectorale-X3.jpg</t>
  </si>
  <si>
    <t>C</t>
  </si>
  <si>
    <t>Dialictus</t>
  </si>
  <si>
    <t>1|2</t>
  </si>
  <si>
    <t>Complete|Interrupted</t>
  </si>
  <si>
    <t>MesepiPits</t>
  </si>
  <si>
    <t>Striate</t>
  </si>
  <si>
    <t>Striate-Rugose</t>
  </si>
  <si>
    <t>Rugose</t>
  </si>
  <si>
    <t>Striate-Areolate</t>
  </si>
  <si>
    <t>Pits on the mesepisternum</t>
  </si>
  <si>
    <t>Vague</t>
  </si>
  <si>
    <t>No pits evident</t>
  </si>
  <si>
    <t>Pits distinct, like on mesoscutum</t>
  </si>
  <si>
    <t>Sculpturing primarily striate-longitudinal ridges</t>
  </si>
  <si>
    <t>Sculpturing striate at least at base; also rugose--wrinkled</t>
  </si>
  <si>
    <t>Sculpturing striate at least at base; also areolate--fine pattern of enclosed spaces</t>
  </si>
  <si>
    <t>Glabrous</t>
  </si>
  <si>
    <t>Untextured, glabrous, shiny</t>
  </si>
  <si>
    <t>https://photos.smugmug.com/Misc/n-WzFZFQ/ID-Key-dialictus/i-x9dbNr3/0/71d6fdb6/X4/Lasioglossum%2Cthorax%2Cmesepisternum%2Cmesipunk%2CIAE109714-X4.jpg</t>
  </si>
  <si>
    <t>Note punctation on upper mesepi</t>
  </si>
  <si>
    <t>https://photos.smugmug.com/Misc/n-WzFZFQ/ID-Key-dialictus/i-mGG8LCd/0/24d396ce/X4/Lasioglossum%2Cthorax%2Cpropodeum%2Cmesipunk%2C109715-X4.jpg</t>
  </si>
  <si>
    <t>#Taxon L. mesiglab</t>
  </si>
  <si>
    <t>https://photos.smugmug.com/Misc/n-WzFZFQ/ID-Key-dialictus/i-2hnrwLz/0/064efde9/X4/Lasioglossum%2Cthorax%2Cmesepisternum%2Cmesiglab%2CIAE108411-X4.jpg</t>
  </si>
  <si>
    <t>Smooth surface, tiny shallow pits</t>
  </si>
  <si>
    <t>#Taxon v</t>
  </si>
  <si>
    <t>https://photos.smugmug.com/Misc/n-WzFZFQ/ID-Key-dialictus/i-s5XLnmw/0/c1b4ac1e/X3/Lasioglossum%2Cthorax%2Cpropodeum%2CMSV%2C104071-X3.jpg</t>
  </si>
  <si>
    <t>https://photos.smugmug.com/Misc/n-WzFZFQ/ID-Key-dialictus/i-VjGtdTV/0/8b4660ea/X3/Lasioglossum%2Cthorax%2Cpropodeum%2Crugose%2Cocultum-X3.jpg</t>
  </si>
  <si>
    <t>https://photos.smugmug.com/Misc/n-WzFZFQ/ID-Key-dialictus/i-rXK8k7H/0/c51636a6/X2/Lasioglossum%2Cthorax%2Cpropodeum%2Cstriate-rugose%2Cincompletum-X2.jpg</t>
  </si>
  <si>
    <t>https://photos.smugmug.com/Misc/n-WzFZFQ/ID-Key-dialictus/i-trz8f2h/0/3970f741/X2/Lasioglossum%2Cthorax%2Cpropodeum%2Cstriate%2Ctrigeminum-X2.jpg</t>
  </si>
  <si>
    <t>https://photos.smugmug.com/Misc/n-WzFZFQ/ID-Key-dialictus/i-bFPGML2/0/74a72441/X2/Lasioglossum%2Cthorax%2Cpropodeum%2Cstriate-areolate%2Cvillosulum-X2.jpg</t>
  </si>
  <si>
    <t>Irregular, rugose, without strong longitudinal straie</t>
  </si>
  <si>
    <t>Green</t>
  </si>
  <si>
    <t>Dark|Green</t>
  </si>
  <si>
    <t>Blue</t>
  </si>
  <si>
    <t>Metallic, green-ish</t>
  </si>
  <si>
    <t>Metallic, blue-ish</t>
  </si>
  <si>
    <t>First batch</t>
  </si>
  <si>
    <t>L. villosulum</t>
  </si>
  <si>
    <t>L. ruidosense</t>
  </si>
  <si>
    <t>L. avalonense</t>
  </si>
  <si>
    <t>L. occultum</t>
  </si>
  <si>
    <t>IAE104071</t>
  </si>
  <si>
    <t>v</t>
  </si>
  <si>
    <t>Unique shape of propodeum-metanotum</t>
  </si>
  <si>
    <t>IAE108411</t>
  </si>
  <si>
    <t>mesiglab</t>
  </si>
  <si>
    <t>Completely glabrous, sparsely punctate mesepi</t>
  </si>
  <si>
    <t>Glabrous, or scattered erect hairs</t>
  </si>
  <si>
    <t>mesipunk</t>
  </si>
  <si>
    <t>IAE109714</t>
  </si>
  <si>
    <t>Punctate upper mesepi - see pic; shiny mesoscutum; not dialictus</t>
  </si>
  <si>
    <t>raisin</t>
  </si>
  <si>
    <t>Compare to other sp with rough mesepi: not dialictus; complete posterior carina.</t>
  </si>
  <si>
    <t>IncompletumVar</t>
  </si>
  <si>
    <t>Differs from incompletum: No "tabs" at corners of propodeum; mesepistyernum blue, not green</t>
  </si>
  <si>
    <t>evylaeus 23.1</t>
  </si>
  <si>
    <t>Notable: coarse, shallow pitting on mesoscutum</t>
  </si>
  <si>
    <t>Long hairs on T3 and T4; not hair bands</t>
  </si>
  <si>
    <t>evylaeus 23.2</t>
  </si>
  <si>
    <t>Hairs erect; not a "fan"</t>
  </si>
  <si>
    <t>Black</t>
  </si>
  <si>
    <t>Brown</t>
  </si>
  <si>
    <t>Color of abdominal terga</t>
  </si>
  <si>
    <t>AbdHyaline</t>
  </si>
  <si>
    <t>Posterior edge of T2, compared to middle of segment</t>
  </si>
  <si>
    <t>Edge markedly lighter or hyaline (clear)</t>
  </si>
  <si>
    <t>Edge not differentiated</t>
  </si>
  <si>
    <t>Metallic coloration is a defining feature of subgenus Dialictus</t>
  </si>
  <si>
    <t>#Thorax</t>
  </si>
  <si>
    <t>#Taxon Subgenus</t>
  </si>
  <si>
    <t>LasioLasio</t>
  </si>
  <si>
    <t>#HEAD</t>
  </si>
  <si>
    <t>#THORAX</t>
  </si>
  <si>
    <t>#SPECIAL</t>
  </si>
  <si>
    <t>Wing</t>
  </si>
  <si>
    <t>Weak</t>
  </si>
  <si>
    <t>Strong</t>
  </si>
  <si>
    <t>Second SMC cross vein</t>
  </si>
  <si>
    <t>See photos. Strong veined taxa in separate key</t>
  </si>
  <si>
    <t>Second submarginal cross vein weakened</t>
  </si>
  <si>
    <t>Tricky character - see photos. This is the condition for all taxa in this key</t>
  </si>
  <si>
    <t>This is the condition for larger bees, covered in a separate key</t>
  </si>
  <si>
    <t>#Taxon L. blueink</t>
  </si>
  <si>
    <t>Vague pits shallow or sparse (&gt;4 diameters)</t>
  </si>
  <si>
    <t>SupraPits</t>
  </si>
  <si>
    <t>SupraTexture</t>
  </si>
  <si>
    <t>https://photos.smugmug.com/Misc/n-WzFZFQ/ID-Key-dialictus/i-gPWdjLk/0/aec3596b/X5/Lasioglossum%2Chead%2Cround%20vs%20convergent-X5.jpg</t>
  </si>
  <si>
    <t>https://photos.smugmug.com/Misc/n-WzFZFQ/ID-Key-dialictus/i-Bgct8rt/0/520de685/X5/Lasioglossum%2C%20mesiglab%2Clateral%2CIAE%20110030-X5.jpg</t>
  </si>
  <si>
    <t>https://photos.smugmug.com/Misc/n-WzFZFQ/ID-Key-dialictus/i-B5hrQ9W/0/72d9e3d2/X5/Lasioglossum%20blueink%2Cfemale%2Clateral%2CJF-X5.jpg</t>
  </si>
  <si>
    <t>https://photos.smugmug.com/Misc/n-WzFZFQ/ID-Key-dialictus/i-KmgpP5C/0/a21acc68/X4/Lasioglossum%2C%20mesipunk%2Chead%2CIAE%20109559-X4.jpg</t>
  </si>
  <si>
    <t>https://photos.smugmug.com/Misc/n-WzFZFQ/ID-Key-dialictus/i-bx5bDKL/0/35e66469/X3/Lasioglossum%20albipenne%2Cfemale%2Cfisher%2Clateral-X3.jpg</t>
  </si>
  <si>
    <t>Lateral view</t>
  </si>
  <si>
    <t>https://photos.smugmug.com/Misc/n-WzFZFQ/ID-Key-dialictus/i-766ncdG/0/d8cb411a/X3/Lasioglossum%2Cabdomen%2CT2%20Not%20Hyaline%2Cevylaeus-X3.jpg</t>
  </si>
  <si>
    <t>https://photos.smugmug.com/Misc/n-WzFZFQ/ID-Key-dialictus/i-85Tf5cF/0/4c1a34aa/X2/Lasioglossum%2Cabdomen%2CT2%20Hyaline%2Cavalonense-X2.jpg</t>
  </si>
  <si>
    <t>html-local</t>
  </si>
  <si>
    <t>#Info files</t>
  </si>
  <si>
    <t>resources/text/TaxonAlbipenne.html</t>
  </si>
  <si>
    <t>resources/text/TaxonAvalonense.html</t>
  </si>
  <si>
    <t>resources/text/TaxonBlueink.html</t>
  </si>
  <si>
    <t>resources/text/TaxonCressonii.html</t>
  </si>
  <si>
    <t>resources/text/TaxonIncompletum.html</t>
  </si>
  <si>
    <t>resources/text/TaxonMesiglab.html</t>
  </si>
  <si>
    <t>resources/text/TaxonRuidosense.html</t>
  </si>
  <si>
    <t>resources/text/TaxonVillosulum.html</t>
  </si>
  <si>
    <t>#Taxon Lasioglossum kincaidii</t>
  </si>
  <si>
    <t>https://photos.smugmug.com/Misc/n-WzFZFQ/ID-Key-dialictus/i-HcVh4x6/1/fea0fd08/X5/Lasioglossum%2Cthorax%2Cmesepisternum%20rough%2Ckincaidii-X5.jpg</t>
  </si>
  <si>
    <t>https://photos.smugmug.com/Misc/n-WzFZFQ/ID-Key-dialictus/i-HLG8fZg/1/78cd624f/X5/Lasioglossum%2Cthorax%2Cpropodeum%2Ckincaidi-X5.jpg</t>
  </si>
  <si>
    <t>https://photos.smugmug.com/Misc/n-WzFZFQ/ID-Key-dialictus/i-QmL9b2R/1/795eadf3/5K/Lasioglossum%2Cabdomen%2Ckincaidi-5K.jpg</t>
  </si>
  <si>
    <t>https://photos.smugmug.com/Misc/n-WzFZFQ/ID-Key-dialictus/i-jcjKL8J/1/8181c2d0/X5/Lasioglossum%2Chead%2Cgena%2Ckincaidii-X5.jpg</t>
  </si>
  <si>
    <t>resources/text/TaxonKincaidii.html</t>
  </si>
  <si>
    <t>resources/text/TaxonOccultum.html</t>
  </si>
  <si>
    <t>Light wing veins unique for albipenne</t>
  </si>
  <si>
    <t>Supraclypeus: density of pits</t>
  </si>
  <si>
    <t>Supraclypeus: Integument between pits, on lower margin</t>
  </si>
  <si>
    <t>Erect</t>
  </si>
  <si>
    <t>https://photos.smugmug.com/Misc/n-WzFZFQ/ID-Key-dialictus/i-PBM9bp5/0/71f324e2/4K/Lasioglossum%2C%20Evylaeus23.2%2Clateral%2CIAE106001-4K.jpg</t>
  </si>
  <si>
    <t>https://photos.smugmug.com/Misc/n-WzFZFQ/ID-Key-dialictus/i-GKbxRcR/2/4a3f7f25/X4/Lasioglossum%2Cabdomen%2CT1%20basal%20hairs%20sparse%2Ccf.occultum-X4.jpg</t>
  </si>
  <si>
    <t>resources/text/TaxonSS.html</t>
  </si>
  <si>
    <t>https://photos.smugmug.com/Misc/n-WzFZFQ/ID-Key-dialictus/i-nVfrdbn/0/20548761/X4/Lasioglossum%2Clateral%2Cmesipunk%2CIAE110205-X4.jpg</t>
  </si>
  <si>
    <t>https://photos.smugmug.com/Misc/n-WzFZFQ/ID-Key-dialictus/i-9JLh4vN/0/ef754a5e/X3/Lasioglossum%2Chead%2Cmesipunk%2CIAE110205-X3.jpg</t>
  </si>
  <si>
    <t>The supraclypeus is the area between the top of the clypeus and the antennal bases</t>
  </si>
  <si>
    <t>Second submarginal cross vein strong</t>
  </si>
  <si>
    <t>https://photos.smugmug.com/Misc/n-WzFZFQ/ID-Key-dialictus/i-s8sxt6B/0/ae7ba86f/X4/Lasioglossum%2Cwing%2Css%20and%20sl%20comparison-X4.jpg</t>
  </si>
  <si>
    <t>Tip: a strong vein appears as a pair of dark lines</t>
  </si>
  <si>
    <t>https://photos.smugmug.com/Misc/n-WzFZFQ/Lasio-Key-OBA/i-R3Gr6Vg/0/77569245/X4/Lasioglossum%20glabiventre%2Cfemale%2Cpropodeum-X4.jpg</t>
  </si>
  <si>
    <t>https://photos.smugmug.com/Misc/n-WzFZFQ/ID-Key-dialictus/i-Hjb2T3c/0/56008033/X4/Lasioglossum%2Cthorax%2Cpropodeum%2Cavolanense-X4.jpg</t>
  </si>
  <si>
    <t>https://photos.smugmug.com/Misc/n-WzFZFQ/ID-Key-dialictus/i-HLG8fZg/1/78cd624f/X4/Lasioglossum%2Cthorax%2Cpropodeum%2Ckincaidi-X4.jpg</t>
  </si>
  <si>
    <t>https://photos.smugmug.com/Misc/n-WzFZFQ/ID-Key-dialictus/i-8RPLmb2/1/e9c6b2aa/X5/Lasioglossum%2Cthorax%2Cpropodeum%2Ccf.occultum-X5.jpg</t>
  </si>
  <si>
    <t>L. occultum. The most typical case: the carina is not a heavily sclerotized edge as in cressonii, but a "rounding of the corner" from the lateral carina</t>
  </si>
  <si>
    <t>Hemihalictus</t>
  </si>
  <si>
    <t>Sphecodogastra</t>
  </si>
  <si>
    <t>Spur</t>
  </si>
  <si>
    <t>Inner hind tibial spur</t>
  </si>
  <si>
    <t>https://photos.smugmug.com/Misc/n-WzFZFQ/Lasio-Key-OBA/i-3nLC45Z/0/bb5c9b0b/X3/Lasioglossum%2Clegs%2Cinner%20tibial%20spur%2Cfew%20large%20teeth%2Coccultum-X3.jpg</t>
  </si>
  <si>
    <t>Evylaeus</t>
  </si>
  <si>
    <t>1|0.5</t>
  </si>
  <si>
    <t>Inner - the side held against the body</t>
  </si>
  <si>
    <t>Pectinate - comb-like, and short</t>
  </si>
  <si>
    <t>7 or fewer teeth, each less than the width of the rachis (the spur itself)</t>
  </si>
  <si>
    <t>Pectinate - comb-like, and long</t>
  </si>
  <si>
    <t>7 or fewer teeth, each as long or longer than the width of the rachis (the spur itself)</t>
  </si>
  <si>
    <t>Serrate</t>
  </si>
  <si>
    <t>Lateral appressed hairs absent or faint</t>
  </si>
  <si>
    <t>T1Pits</t>
  </si>
  <si>
    <t>T3HairBand</t>
  </si>
  <si>
    <t xml:space="preserve">T3 Basal hair band, similar to that of large Lasios </t>
  </si>
  <si>
    <t>May be complete or interrupted</t>
  </si>
  <si>
    <t>https://photos.smugmug.com/Misc/n-WzFZFQ/ID-Key-dialictus/i-JQrXb2T/1/b0cbadd8/X5/Lasioglossum%2Cabdomen%2Coccultum%2C109888-X5.jpg</t>
  </si>
  <si>
    <t>Dense</t>
  </si>
  <si>
    <t>https://photos.smugmug.com/Misc/n-WzFZFQ/ID-Key-dialictus/i-gDdpTvz/0/bf518b03/X4/Lasioglossum%2Cabdomen%2CT1%20pits%20widely%2Czonulum-X4.jpg</t>
  </si>
  <si>
    <t>https://photos.smugmug.com/Misc/n-WzFZFQ/ID-Key-dialictus/i-DzXpR7m/0/3e421719/X5/Lasioglossum%2Cabdomen%2Cbetter%2Ccressonii%2C108620-X5.jpg</t>
  </si>
  <si>
    <t>Sparse</t>
  </si>
  <si>
    <t>Pitting distinct and dense - spacing ~3 pit diameters or less</t>
  </si>
  <si>
    <t>Pitting on T1, wherever pits are densest</t>
  </si>
  <si>
    <t>Pits small, sparse - spacing 5 or more diameters</t>
  </si>
  <si>
    <t>https://photos.smugmug.com/Misc/n-WzFZFQ/Lasio-Key-OBA/i-JbfRpkL/0/605d5813/X5/Lasioglossum%2Cabdomen%2CT1%20pits%2Cargemonis-X5.jpg</t>
  </si>
  <si>
    <t>resources/text/TaxonArgemonis.html</t>
  </si>
  <si>
    <t>#Taxon L. argemonis</t>
  </si>
  <si>
    <t>https://photos.smugmug.com/Misc/n-WzFZFQ/Lasio-Key-OBA/i-QTD2MrV/0/19412ffe/X3/Lasioglossum%2Cfemale%2Clegs%2Cspur%2Cargemonis-X3.jpg</t>
  </si>
  <si>
    <t>https://photos.smugmug.com/Misc/n-WzFZFQ/Lasio-Key-OBA/i-D5QHhJK/0/f304fb85/X5/Lasioglossum%2Cthorax%2Cpropodeum%20short%20lateral%2Caregemonis-X5.jpg</t>
  </si>
  <si>
    <t>#Taxon L. s.s.</t>
  </si>
  <si>
    <t>https://photos.smugmug.com/Misc/n-WzFZFQ/IDKey-Lasioglossum/i-HxZX8np/0/cd328a50/X5/Lasioglossum%20Sysimbrii.fisher-X5.jpg</t>
  </si>
  <si>
    <t>https://photos.smugmug.com/Misc/n-WzFZFQ/IDKey-Lasioglossum/i-mz43bHX/0/fa8f1ab6/O/pacificum.6-9-2021.jefferson.jpg</t>
  </si>
  <si>
    <t>Uniform</t>
  </si>
  <si>
    <t>Smooth with areas of roughness</t>
  </si>
  <si>
    <t>Entire area rough, like a washboard</t>
  </si>
  <si>
    <t>Heavy</t>
  </si>
  <si>
    <t>Very rough, 3-dimensional</t>
  </si>
  <si>
    <t>Uniform | Heavy</t>
  </si>
  <si>
    <t>Short | Long</t>
  </si>
  <si>
    <t>Teeth small and serrate, or absent</t>
  </si>
  <si>
    <t>None</t>
  </si>
  <si>
    <t>Impunctate</t>
  </si>
  <si>
    <t>Dark brown</t>
  </si>
  <si>
    <t>Impression is uniformly shiny; there may be tiny shallow pits</t>
  </si>
  <si>
    <t>Subgenus</t>
  </si>
  <si>
    <t>Metallic coloration is definitive for this subgenus</t>
  </si>
  <si>
    <t>Dialictus: Small bees with metallic integument</t>
  </si>
  <si>
    <t>Sphecodogastra: small (&lt;7mm) dark bees with strong carinae</t>
  </si>
  <si>
    <t>Hemihalictus: small dark bees (&lt;7mm&gt;with weak carinae</t>
  </si>
  <si>
    <t>Evylaeus: larger (~7mm) , brown-black bees</t>
  </si>
  <si>
    <t>https://photos.smugmug.com/Misc/n-WzFZFQ/Lasio-Key-OBA/i-NmjMRRW/0/05e81028/X2/Lasioglossum%2Clegs%2Cposterior%20spur%20pegs%2Cvillobar-X2.jpg</t>
  </si>
  <si>
    <t>https://photos.smugmug.com/Misc/n-WzFZFQ/Lasio-Key-OBA/i-XfZhCwP/0/7a1f1b76/X2/Lasioglossum%2Clegs%2Cspur%20teeth%2Cmacoupinense-X2.jpg</t>
  </si>
  <si>
    <t>Teeth short and wider at base - like saw teeth</t>
  </si>
  <si>
    <t>Subgenus sensu stricto</t>
  </si>
  <si>
    <t>Subgenus evylaeus. Tentative … probably argemonis, need more examples</t>
  </si>
  <si>
    <t>https://photos.smugmug.com/Misc/n-WzFZFQ/ID-Key-dialictus/i-zbft7DX/0/08297ef3/X4/Lasioglossum%20ruidosense%2Cfemale%2Chead%2CIAE101898-X4.jpg</t>
  </si>
  <si>
    <t>https://photos.smugmug.com/Misc/n-WzFZFQ/ID-Key-dialictus/i-LfBnJjq/0/5f194d3a/X4/Lasioglossum%2Cfemale%2Cmesepisternum%2Cruidosense%2CIAE101898-X4.jpg</t>
  </si>
  <si>
    <t>https://photos.smugmug.com/Misc/n-WzFZFQ/ID-Key-dialictus/i-bspP9t4/0/947ac201/X3/Lasioglossum%2Cthorax%2Cpropodeum%2Cruidosense%2CIAE%20101898-X3.jpg</t>
  </si>
  <si>
    <t>https://photos.smugmug.com/Misc/n-WzFZFQ/ID-Key-dialictus/i-DRw3rZw/0/92d1b20c/X3/Lasioglossum%2Cfemale%2Clegs%2Cspur%2Colympiae-X3.jpg</t>
  </si>
  <si>
    <t>https://photos.smugmug.com/Misc/n-WzFZFQ/ID-Key-dialictus/i-BP54tPS/0/4fe752fe/X4/Lasioglossum%2Cthorax%2Cpropodeum%20short%20lateral%2Caregemonis-X4.jpg</t>
  </si>
  <si>
    <t>#Taxon L. villobar - previously villosulum</t>
  </si>
  <si>
    <t>#Taxon occultum - previously evylaeus 23.2</t>
  </si>
  <si>
    <t>#Taxon L. villosulum - sensu Engler, previously mesipunk</t>
  </si>
  <si>
    <t>https://photos.smugmug.com/Misc/n-WzFZFQ/ID-Key-dialictus/i-ScQrktM/0/763cb19b/X4/Lasioglossum%2Cfemale%2Cmesepisternum%2Cblueink-X4.jpg</t>
  </si>
  <si>
    <t>https://photos.smugmug.com/Misc/n-WzFZFQ/ID-Key-dialictus/i-zZDXbnW/0/2d482796/X4/Lasioglossum%2Cfemale%2Chead%2Cblueink-X4.jpg</t>
  </si>
  <si>
    <t>Round | Long</t>
  </si>
  <si>
    <t>Texture of mesepisternum.</t>
  </si>
  <si>
    <t>#WING, Leg</t>
  </si>
  <si>
    <t xml:space="preserve"> Right click for overview of mesepisternum: &lt;a href="https://photos.smugmug.com/Misc/n-WzFZFQ/ID-Key-dialictus/i-nSQRm6B/0/834994c9/5K/Lasioglossum%20mesepisterna%20comparisons-5K.jpg"&gt;Guide to traits&lt;/a&gt;</t>
  </si>
  <si>
    <t>Right click for overview of propodeum: &lt;a href="https://photos.smugmug.com/Misc/n-WzFZFQ/ID-Key-dialictus/i-QQ4GFPv/0/4966c01c/X4/Lasioglossum%20propodeum%20comparisons-X4.jpg"&gt;Guide to terms used&lt;/a&gt;</t>
  </si>
  <si>
    <t>https://photos.smugmug.com/Misc/n-WzFZFQ/ID-Key-dialictus/i-B6JBzdF/0/6b46214e/X3/mesepi%20glabrous-X3.jpg</t>
  </si>
  <si>
    <t>https://photos.smugmug.com/Misc/n-WzFZFQ/ID-Key-dialictus/i-FhsDRvL/0/189b91e7/X3/mesepi%20light-X3.jpg</t>
  </si>
  <si>
    <t>https://photos.smugmug.com/Misc/n-WzFZFQ/ID-Key-dialictus/i-2tRVjC4/0/4248a0f6/X4/mesepi%20uniform%2C%20pits-X4.jpg</t>
  </si>
  <si>
    <t>https://photos.smugmug.com/Misc/n-WzFZFQ/ID-Key-dialictus/i-GW4pPXK/0/8314dfb5/X4/mesepi%20uniform-X4.jpg</t>
  </si>
  <si>
    <t>https://photos.smugmug.com/Misc/n-WzFZFQ/ID-Key-dialictus/i-sfs2DZw/0/62480de8/X4/mesepi%20rugose%2C%20no%20pits2-X4.jpg</t>
  </si>
  <si>
    <t>https://photos.smugmug.com/Misc/n-WzFZFQ/ID-Key-dialictus/i-bkZqbMc/0/7bf29cd1/X4/mesepi%20rugose%2C%20no%20pits-X4.jpg</t>
  </si>
  <si>
    <t xml:space="preserve">Lasioglossum sensu stricto: Large bees with white hair bands (subgenus sensu stricto) </t>
  </si>
  <si>
    <t>Helpful to know this; however other traits in the key will converge on a subgenus. Right click to open page: &lt;a href="https://photos.smugmug.com/Misc/n-WzFZFQ/ID-Key-dialictus/i-RgJC3gt/2/3913dfe2/X5/Lasio%20subgenus%20chart1-X5.jpg"&gt;Subgenus diagnosis&lt;/a&gt;</t>
  </si>
  <si>
    <t>Wing, leg</t>
  </si>
  <si>
    <t>Propodeum</t>
  </si>
  <si>
    <t>L. mesiglab</t>
  </si>
  <si>
    <t>L. v</t>
  </si>
  <si>
    <t>L. kincaidii</t>
  </si>
  <si>
    <t>L. blueink</t>
  </si>
  <si>
    <t>L. argemonis</t>
  </si>
  <si>
    <t>L. s.s.</t>
  </si>
  <si>
    <t>L. villobar</t>
  </si>
  <si>
    <t>#L. zonulum</t>
  </si>
  <si>
    <t>#L. sisymbrii</t>
  </si>
  <si>
    <t>#L. olympiae</t>
  </si>
  <si>
    <t>Mesoscutum pit distribution</t>
  </si>
  <si>
    <t>Right click for &lt;a href="https://photos.smugmug.com/Misc/n-WzFZFQ/ID-Key-dialictus/i-Hc7Rr68/0/2b840a76/X4/Lasioglossum%20scutum%20comparisons-X4.jpg"&gt;Guide to mesoscutum traits&lt;/a&gt;</t>
  </si>
  <si>
    <r>
      <rPr>
        <b/>
        <sz val="16"/>
        <color theme="1"/>
        <rFont val="Calibri (Body)"/>
      </rPr>
      <t xml:space="preserve">L. incompletum </t>
    </r>
    <r>
      <rPr>
        <b/>
        <sz val="14"/>
        <color theme="1"/>
        <rFont val="Calibri"/>
        <family val="2"/>
        <scheme val="minor"/>
      </rPr>
      <t xml:space="preserve">
</t>
    </r>
    <r>
      <rPr>
        <b/>
        <sz val="12"/>
        <color theme="1"/>
        <rFont val="Calibri (Body)"/>
      </rPr>
      <t>Det. D. Cappaert 2023</t>
    </r>
  </si>
  <si>
    <r>
      <rPr>
        <b/>
        <sz val="16"/>
        <color theme="1"/>
        <rFont val="Calibri (Body)"/>
      </rPr>
      <t xml:space="preserve">L. blueink </t>
    </r>
    <r>
      <rPr>
        <b/>
        <sz val="14"/>
        <color theme="1"/>
        <rFont val="Calibri"/>
        <family val="2"/>
        <scheme val="minor"/>
      </rPr>
      <t xml:space="preserve">
</t>
    </r>
    <r>
      <rPr>
        <b/>
        <sz val="12"/>
        <color theme="1"/>
        <rFont val="Calibri (Body)"/>
      </rPr>
      <t>Det. D. Cappaert 2023</t>
    </r>
  </si>
  <si>
    <r>
      <rPr>
        <b/>
        <sz val="16"/>
        <color theme="1"/>
        <rFont val="Calibri (Body)"/>
      </rPr>
      <t xml:space="preserve">L. villosulum </t>
    </r>
    <r>
      <rPr>
        <b/>
        <sz val="14"/>
        <color theme="1"/>
        <rFont val="Calibri"/>
        <family val="2"/>
        <scheme val="minor"/>
      </rPr>
      <t xml:space="preserve">
</t>
    </r>
    <r>
      <rPr>
        <b/>
        <sz val="12"/>
        <color theme="1"/>
        <rFont val="Calibri (Body)"/>
      </rPr>
      <t>Det. D. Cappaert 2023</t>
    </r>
  </si>
  <si>
    <r>
      <rPr>
        <b/>
        <sz val="16"/>
        <color theme="1"/>
        <rFont val="Calibri (Body)"/>
      </rPr>
      <t xml:space="preserve">L. albipenne </t>
    </r>
    <r>
      <rPr>
        <b/>
        <sz val="14"/>
        <color theme="1"/>
        <rFont val="Calibri"/>
        <family val="2"/>
        <scheme val="minor"/>
      </rPr>
      <t xml:space="preserve">
</t>
    </r>
    <r>
      <rPr>
        <b/>
        <sz val="12"/>
        <color theme="1"/>
        <rFont val="Calibri (Body)"/>
      </rPr>
      <t>Det. D. Cappaert 2023</t>
    </r>
  </si>
  <si>
    <r>
      <rPr>
        <b/>
        <sz val="16"/>
        <color theme="1"/>
        <rFont val="Calibri (Body)"/>
      </rPr>
      <t xml:space="preserve">L. ruidosense </t>
    </r>
    <r>
      <rPr>
        <b/>
        <sz val="14"/>
        <color theme="1"/>
        <rFont val="Calibri"/>
        <family val="2"/>
        <scheme val="minor"/>
      </rPr>
      <t xml:space="preserve">
</t>
    </r>
    <r>
      <rPr>
        <b/>
        <sz val="12"/>
        <color theme="1"/>
        <rFont val="Calibri (Body)"/>
      </rPr>
      <t>Det. D. Cappaert 2023</t>
    </r>
  </si>
  <si>
    <r>
      <rPr>
        <b/>
        <sz val="16"/>
        <color theme="1"/>
        <rFont val="Calibri (Body)"/>
      </rPr>
      <t xml:space="preserve">L. cressonii </t>
    </r>
    <r>
      <rPr>
        <b/>
        <sz val="14"/>
        <color theme="1"/>
        <rFont val="Calibri"/>
        <family val="2"/>
        <scheme val="minor"/>
      </rPr>
      <t xml:space="preserve">
</t>
    </r>
    <r>
      <rPr>
        <b/>
        <sz val="12"/>
        <color theme="1"/>
        <rFont val="Calibri (Body)"/>
      </rPr>
      <t>Det. D. Cappaert 2023</t>
    </r>
  </si>
  <si>
    <r>
      <rPr>
        <b/>
        <sz val="16"/>
        <color theme="1"/>
        <rFont val="Calibri (Body)"/>
      </rPr>
      <t xml:space="preserve">L. avalonense </t>
    </r>
    <r>
      <rPr>
        <b/>
        <sz val="14"/>
        <color theme="1"/>
        <rFont val="Calibri"/>
        <family val="2"/>
        <scheme val="minor"/>
      </rPr>
      <t xml:space="preserve">
</t>
    </r>
    <r>
      <rPr>
        <b/>
        <sz val="12"/>
        <color theme="1"/>
        <rFont val="Calibri (Body)"/>
      </rPr>
      <t>Det. D. Cappaert 2023</t>
    </r>
  </si>
  <si>
    <r>
      <rPr>
        <b/>
        <sz val="16"/>
        <color theme="1"/>
        <rFont val="Calibri (Body)"/>
      </rPr>
      <t xml:space="preserve">L. occultum </t>
    </r>
    <r>
      <rPr>
        <b/>
        <sz val="14"/>
        <color theme="1"/>
        <rFont val="Calibri"/>
        <family val="2"/>
        <scheme val="minor"/>
      </rPr>
      <t xml:space="preserve">
</t>
    </r>
    <r>
      <rPr>
        <b/>
        <sz val="12"/>
        <color theme="1"/>
        <rFont val="Calibri (Body)"/>
      </rPr>
      <t>Det. D. Cappaert 2023</t>
    </r>
  </si>
  <si>
    <r>
      <rPr>
        <b/>
        <sz val="16"/>
        <color theme="1"/>
        <rFont val="Calibri (Body)"/>
      </rPr>
      <t xml:space="preserve">L. mesiglab </t>
    </r>
    <r>
      <rPr>
        <b/>
        <sz val="14"/>
        <color theme="1"/>
        <rFont val="Calibri"/>
        <family val="2"/>
        <scheme val="minor"/>
      </rPr>
      <t xml:space="preserve">
</t>
    </r>
    <r>
      <rPr>
        <b/>
        <sz val="12"/>
        <color theme="1"/>
        <rFont val="Calibri (Body)"/>
      </rPr>
      <t>Det. D. Cappaert 2023</t>
    </r>
  </si>
  <si>
    <r>
      <rPr>
        <b/>
        <sz val="16"/>
        <color theme="1"/>
        <rFont val="Calibri (Body)"/>
      </rPr>
      <t>L. villobar</t>
    </r>
    <r>
      <rPr>
        <b/>
        <sz val="14"/>
        <color theme="1"/>
        <rFont val="Calibri"/>
        <family val="2"/>
        <scheme val="minor"/>
      </rPr>
      <t xml:space="preserve">
</t>
    </r>
    <r>
      <rPr>
        <b/>
        <sz val="12"/>
        <color theme="1"/>
        <rFont val="Calibri (Body)"/>
      </rPr>
      <t>Det. D. Cappaert 2023</t>
    </r>
  </si>
  <si>
    <r>
      <rPr>
        <b/>
        <sz val="16"/>
        <color theme="1"/>
        <rFont val="Calibri (Body)"/>
      </rPr>
      <t>L. kincaidii</t>
    </r>
    <r>
      <rPr>
        <b/>
        <sz val="14"/>
        <color theme="1"/>
        <rFont val="Calibri"/>
        <family val="2"/>
        <scheme val="minor"/>
      </rPr>
      <t xml:space="preserve">
</t>
    </r>
    <r>
      <rPr>
        <b/>
        <sz val="12"/>
        <color theme="1"/>
        <rFont val="Calibri (Body)"/>
      </rPr>
      <t>Det. D. Cappaert 2023</t>
    </r>
  </si>
  <si>
    <t>L. cavness</t>
  </si>
  <si>
    <t>Smooth | Light</t>
  </si>
  <si>
    <r>
      <rPr>
        <b/>
        <sz val="16"/>
        <color theme="1"/>
        <rFont val="Calibri (Body)"/>
      </rPr>
      <t>L. cavness</t>
    </r>
    <r>
      <rPr>
        <b/>
        <sz val="14"/>
        <color theme="1"/>
        <rFont val="Calibri"/>
        <family val="2"/>
        <scheme val="minor"/>
      </rPr>
      <t xml:space="preserve">
</t>
    </r>
    <r>
      <rPr>
        <b/>
        <sz val="12"/>
        <color theme="1"/>
        <rFont val="Calibri (Body)"/>
      </rPr>
      <t>Det. D. Cappaert 2023</t>
    </r>
  </si>
  <si>
    <t>On hold</t>
  </si>
  <si>
    <t>#Taxon cavness</t>
  </si>
  <si>
    <t>https://photos.smugmug.com/Misc/n-WzFZFQ/ID-Key-dialictus/i-HXzN37t/0/b9fe6e86/X4/Lasioglossum%2Chead%2Ccavness-X4.jpg</t>
  </si>
  <si>
    <t>https://photos.smugmug.com/Misc/n-WzFZFQ/ID-Key-dialictus/i-Hbmzgm3/0/54fb37b9/X4/Lasioglossum%2Cthorax%2Cmesepisternum%2Ccavness-X4.jpg</t>
  </si>
  <si>
    <t>https://photos.smugmug.com/Misc/n-WzFZFQ/ID-Key-dialictus/i-xfwszNc/0/65ee03bc/X4/Lasioglossum%2Cthorax%2Cpropodeum%2Ccavness-X4.jpg</t>
  </si>
  <si>
    <t>https://photos.smugmug.com/Misc/n-WzFZFQ/ID-Key-dialictus/i-ZCtxMSK/0/8a1dd1d5/X4/Lasioglossum%2Cthorax%2Cscutum%2Ccavness-X4.jpg</t>
  </si>
  <si>
    <t>https://photos.smugmug.com/Misc/n-WzFZFQ/ID-Key-dialictus/i-pMzbprs/0/cd8ce93a/X3/Lasioglossum%2Cthorax%2Cpropodeum%2Cblueink-X3.jpg</t>
  </si>
  <si>
    <t>Dense: Pit spacing about 0.5 diameter</t>
  </si>
  <si>
    <t>Moderate</t>
  </si>
  <si>
    <t>Dense | Moderate</t>
  </si>
  <si>
    <t>https://photos.smugmug.com/Misc/n-WzFZFQ/ID-Key-dialictus/i-FMPPBzm/0/bb89efa6/X4/Lasioglossum%20argemonis%2Cfemale%2Chead-X4.jpg</t>
  </si>
  <si>
    <t>https://photos.smugmug.com/Misc/n-WzFZFQ/ID-Key-dialictus/i-xdShgvd/0/1b74319a/X4/Lasioglossum%2Cthorax%2Cmesepisternum%2Cargemonis-X4.jpg</t>
  </si>
  <si>
    <t>https://photos.smugmug.com/Misc/n-WzFZFQ/ID-Key-dialictus/i-2VVp5RZ/0/ab22e2cc/X4/Lasioglossum%2Chead%2Cblueink%2CIAE109844-X4.jpg</t>
  </si>
  <si>
    <t>Light | Uniform</t>
  </si>
  <si>
    <t>#https://photos.smugmug.com/Misc/n-WzFZFQ/ID-Key-dialictus/i-RgJC3gt/0/9212a626/X4/Lasio%20subgenus%20chart1-X4.jpg</t>
  </si>
  <si>
    <t>https://photos.smugmug.com/Misc/n-WzFZFQ/ID-Key-dialictus/i-4WKNdVn/0/395d5b9b/X3/Lasioglossum%2Cthorax%2Cscutum%2Cmesiglab-X3.jpg</t>
  </si>
  <si>
    <t>https://photos.smugmug.com/Misc/n-WzFZFQ/ID-Key-dialictus/i-97F5X56/0/639a23aa/X3/Lasioglossum%2Cevylaeus%2Cthorax%2Cscutum%20sparse%20and%20polished%20%2CSW_20170523%2338%2CDeschutes-X3.jpg</t>
  </si>
  <si>
    <t>resources/text/TaxonCavness.html</t>
  </si>
  <si>
    <t>L. hyalinum</t>
  </si>
  <si>
    <t>#Taxon hyalinum</t>
  </si>
  <si>
    <t>https://photos.smugmug.com/Misc/n-WzFZFQ/ID-Key-dialictus/i-9f9cc82/0/2b4f8c55/X4/Lasioglossum%2Chead%2Chyalinum-X4.jpg</t>
  </si>
  <si>
    <t>https://photos.smugmug.com/Misc/n-WzFZFQ/ID-Key-dialictus/i-332cWNh/0/2860c8b2/X4/Lasioglossum%2Cthorax%2Cmesepisternum%2Chyalinum-X4.jpg</t>
  </si>
  <si>
    <t>https://photos.smugmug.com/Misc/n-WzFZFQ/ID-Key-dialictus/i-NqsWMBj/0/313a0765/X3/Lasioglossum%2Cthorax%2Cpropodeum%2Chyalinum-X3.jpg</t>
  </si>
  <si>
    <t>https://photos.smugmug.com/Misc/n-WzFZFQ/ID-Key-dialictus/i-nJP2Dzw/0/0aca5aef/X4/Lasioglossum%2Clateral%2Cintermediate%2Chyalinum-X4.jpg</t>
  </si>
  <si>
    <t>https://photos.smugmug.com/Misc/n-WzFZFQ/ID-Key-dialictus/i-GJZz5pK/0/1d89c34d/X4/Lasioglossum%2Cabdomen%2CT1%20pits%2Chyalinum-X4.jpg</t>
  </si>
  <si>
    <t>resources/text/TaxonHyalinum.html</t>
  </si>
  <si>
    <t>OR</t>
  </si>
  <si>
    <t>WA</t>
  </si>
  <si>
    <t>Oregon</t>
  </si>
  <si>
    <t>Washington</t>
  </si>
  <si>
    <t>L. nigrum</t>
  </si>
  <si>
    <t>Unique</t>
  </si>
  <si>
    <t>none</t>
  </si>
  <si>
    <t>*Unique</t>
  </si>
  <si>
    <t>Unique to taxon</t>
  </si>
  <si>
    <t>A few species exhibit one defining feature</t>
  </si>
  <si>
    <t>None of these</t>
  </si>
  <si>
    <t>#Unique</t>
  </si>
  <si>
    <t>Light | Dark</t>
  </si>
  <si>
    <t>Striate | Striate-rugose</t>
  </si>
  <si>
    <t>Long | Short</t>
  </si>
  <si>
    <t>Long | Round</t>
  </si>
  <si>
    <t>https://photos.smugmug.com/Misc/n-WzFZFQ/Lasio-Key-OBA/i-Kr4ZnQs/0/ab71a530/X5/Lasiogllossum%20nigrum%2Cfemale%2Cabdomen%2CT2%20pits-X5.jpg</t>
  </si>
  <si>
    <t>#Taxon nigrum/quebec</t>
  </si>
  <si>
    <t>L. nigrum, quebecense</t>
  </si>
  <si>
    <t>https://www.yorku.ca/bugsrus/resources/galleries/img_boc/Lasioglossum%20quebecense%20F.jpg</t>
  </si>
  <si>
    <t>L. quebecense. Images courtesy of Margarita Miklasevskaja at PCYU with funding from NSERC-CANPOLIN.</t>
  </si>
  <si>
    <t>https://photos.smugmug.com/Misc/n-WzFZFQ/Lasio-Key-OBA/i-TJkx8gM/0/5bc26c54/X3/Lasioglossum%2Cthorax%2Cpropodeum%2Cshield-X3.jpg</t>
  </si>
  <si>
    <t>Rake</t>
  </si>
  <si>
    <t>https://photos.smugmug.com/Misc/n-WzFZFQ/Lasio-Key-OBA/i-pqJQ6zQ/0/7b5baa1f/X5/Lasiogllossum%2Cfemale%2Clegs%2Cfemoral%20scopa%2Caberrans-X5.jpg</t>
  </si>
  <si>
    <t>Hind femoral scopa composed of a single row of rake-like hairs which are curved or hooked at the end</t>
  </si>
  <si>
    <t>Applies to two oligolege species, east of Cascades</t>
  </si>
  <si>
    <t>Photo is L. aberrans; L. lusoria is the other species with this feature</t>
  </si>
  <si>
    <t>resources/text/TaxonNigrum.html</t>
  </si>
  <si>
    <t>L. aberrans, lusoria</t>
  </si>
  <si>
    <t>#Taxon aberrans, lusoria</t>
  </si>
  <si>
    <t>L. aberrans</t>
  </si>
  <si>
    <t>https://photos.smugmug.com/Misc/n-WzFZFQ/Lasio-Key-OBA/i-4HHFkH3/0/00e8e055/X5/Lasioglossum%20lusoria%2Cfemale%2Cthorax%2Cmesepisternum%20appressed-X5.jpg</t>
  </si>
  <si>
    <t>L. lusoria - white hairs on mesepisternum differntiate from aberrans</t>
  </si>
  <si>
    <t>https://photos.smugmug.com/Misc/n-WzFZFQ/Lasio-Key-OBA/i-Rzj6dhh/0/918f981b/X4/Lasioglossum%20nigrum%2Cfemale%2Chead-X4.jpg</t>
  </si>
  <si>
    <t>L. nigrum. Long head on this specimen; can be closer to round</t>
  </si>
  <si>
    <t>#L. nigrum, quebecense</t>
  </si>
  <si>
    <t>#L. aberrans,  lusoria</t>
  </si>
  <si>
    <t>L. MS CR-4</t>
  </si>
  <si>
    <t>L. helianthi</t>
  </si>
  <si>
    <t>L. MS CR-1</t>
  </si>
  <si>
    <t>L. pruinosum</t>
  </si>
  <si>
    <t xml:space="preserve">L. MS CR-3 </t>
  </si>
  <si>
    <t>W</t>
  </si>
  <si>
    <t>incompletum</t>
  </si>
  <si>
    <t>H-ocellus</t>
  </si>
  <si>
    <t>H-vertex</t>
  </si>
  <si>
    <t>Ratio</t>
  </si>
  <si>
    <t>Head dimensions, random sel of specimens</t>
  </si>
  <si>
    <t>Measure to ocellus clearly more precise - going with that.</t>
  </si>
  <si>
    <t xml:space="preserve">On average, H-vertex = 1.13*H-ocellus </t>
  </si>
  <si>
    <t>?incompletum?</t>
  </si>
  <si>
    <t>blueink</t>
  </si>
  <si>
    <t>incom SD</t>
  </si>
  <si>
    <t>incom mean</t>
  </si>
  <si>
    <t>Species</t>
  </si>
  <si>
    <t>t-Test: Two-Sample Assuming Equal Variances</t>
  </si>
  <si>
    <t>Variable 2</t>
  </si>
  <si>
    <t>Mean</t>
  </si>
  <si>
    <t>Observations</t>
  </si>
  <si>
    <t>S DEV</t>
  </si>
  <si>
    <t>p</t>
  </si>
  <si>
    <t>&lt;.001</t>
  </si>
  <si>
    <t>MS CR-4</t>
  </si>
  <si>
    <t>Mag 4.5X</t>
  </si>
  <si>
    <t>eye</t>
  </si>
  <si>
    <t>Eye+gena</t>
  </si>
  <si>
    <t>Length</t>
  </si>
  <si>
    <t>MS CR-1</t>
  </si>
  <si>
    <t>Conversion: reticle  mseasure*0.225=mm</t>
  </si>
  <si>
    <t>Reticle measures</t>
  </si>
  <si>
    <t>MS CR-2</t>
  </si>
  <si>
    <t>MS CR-3</t>
  </si>
  <si>
    <t>FaceDimensions</t>
  </si>
  <si>
    <t>One|Wide</t>
  </si>
  <si>
    <t>Absent|Present</t>
  </si>
  <si>
    <t>T2Pits</t>
  </si>
  <si>
    <t># Grouped now with blueink L. villobar</t>
  </si>
  <si>
    <t xml:space="preserve">Variant of blueink - synonomized by Claire Rubens, Lateral view, barcode specimen image. </t>
  </si>
  <si>
    <t xml:space="preserve">Variant of blueink </t>
  </si>
  <si>
    <t>#Variant of blueink resources/text/TaxonVillobar.html</t>
  </si>
  <si>
    <t>Gena length</t>
  </si>
  <si>
    <t>pruinosum</t>
  </si>
  <si>
    <t>cressonii</t>
  </si>
  <si>
    <t>obscurum</t>
  </si>
  <si>
    <t>ruidosense</t>
  </si>
  <si>
    <t>helianthi</t>
  </si>
  <si>
    <t>albipenne</t>
  </si>
  <si>
    <t>hyalinum</t>
  </si>
  <si>
    <t>Row Labels</t>
  </si>
  <si>
    <t>Grand Total</t>
  </si>
  <si>
    <t>Average of Ratio</t>
  </si>
  <si>
    <t>Count of Gena length</t>
  </si>
  <si>
    <t>Average of Gena length</t>
  </si>
  <si>
    <t>Count of Ratio</t>
  </si>
  <si>
    <t>StdDev of Ratio</t>
  </si>
  <si>
    <t>StdDev of Gena length2</t>
  </si>
  <si>
    <t>n</t>
  </si>
  <si>
    <t>Head dimensions</t>
  </si>
  <si>
    <t>Gena dimensions</t>
  </si>
  <si>
    <t>Mean face ratio</t>
  </si>
  <si>
    <t>Std Dev</t>
  </si>
  <si>
    <t>Gena prop eye width</t>
  </si>
  <si>
    <t>95% range</t>
  </si>
  <si>
    <t>0.77-0.83</t>
  </si>
  <si>
    <t>0.76 - 0.90</t>
  </si>
  <si>
    <t>0.73 - 0.80</t>
  </si>
  <si>
    <t>0.74 - 0.83</t>
  </si>
  <si>
    <t>0.73 - 0.92</t>
  </si>
  <si>
    <t>0.79 - 0.84</t>
  </si>
  <si>
    <t>0.74 - 0.80</t>
  </si>
  <si>
    <t>0.75 - 0.88</t>
  </si>
  <si>
    <t>0.78 - 1.20</t>
  </si>
  <si>
    <t>0.73 - 1.07</t>
  </si>
  <si>
    <t>0.82 - 1.11</t>
  </si>
  <si>
    <t>0.65 - 1.05</t>
  </si>
  <si>
    <t>1.09 - 1.41</t>
  </si>
  <si>
    <t>0.70 - 1.00</t>
  </si>
  <si>
    <t>1.05 - 1.4</t>
  </si>
  <si>
    <t>0.78 - 1.28</t>
  </si>
  <si>
    <t>1.03 - 1.37</t>
  </si>
  <si>
    <t>N/A</t>
  </si>
  <si>
    <t>0.51 - 1.23</t>
  </si>
  <si>
    <t>Column1</t>
  </si>
  <si>
    <t>Column2</t>
  </si>
  <si>
    <t>Column3</t>
  </si>
  <si>
    <t>Column4</t>
  </si>
  <si>
    <t>Column5</t>
  </si>
  <si>
    <t>Column6</t>
  </si>
  <si>
    <t>Column7</t>
  </si>
  <si>
    <t>Gena/eye</t>
  </si>
  <si>
    <t>Face ratio</t>
  </si>
  <si>
    <t>Dialictus species</t>
  </si>
  <si>
    <t>0.82 - 1.22</t>
  </si>
  <si>
    <t>blueink to RE-CLASSIFY as incompletum</t>
  </si>
  <si>
    <t>(blank)</t>
  </si>
  <si>
    <t>gold</t>
  </si>
  <si>
    <t>DENSE = albipenne - overall white, 50%</t>
  </si>
  <si>
    <t>check</t>
  </si>
  <si>
    <t>Gold</t>
  </si>
  <si>
    <t>SPARSE=incompletum, &lt;50</t>
  </si>
  <si>
    <t>Smooth - not incl pits</t>
  </si>
  <si>
    <t>Green|Gold</t>
  </si>
  <si>
    <t>check, txt</t>
  </si>
  <si>
    <t>#L. MS CR-2</t>
  </si>
  <si>
    <t>syn of pruinosun?</t>
  </si>
  <si>
    <t>check,txt</t>
  </si>
  <si>
    <t>Smooth|Lined</t>
  </si>
  <si>
    <t>avalonense</t>
  </si>
  <si>
    <t>Length in mm</t>
  </si>
  <si>
    <t>numeric</t>
  </si>
  <si>
    <t>spin</t>
  </si>
  <si>
    <t>T1Surf</t>
  </si>
  <si>
    <t>Head</t>
  </si>
  <si>
    <t>Height/Width</t>
  </si>
  <si>
    <t>Height=from median ocellus to bottom of clypeus. Width=widest distance across eyes</t>
  </si>
  <si>
    <t>Pits on T2</t>
  </si>
  <si>
    <t>Sculpturing basally on T1</t>
  </si>
  <si>
    <t>4,8,0.5</t>
  </si>
  <si>
    <t>.7,1.3,.04</t>
  </si>
  <si>
    <t>Pits evident</t>
  </si>
  <si>
    <t>Pits absent</t>
  </si>
  <si>
    <t>No long, plumose, appressed hairs</t>
  </si>
  <si>
    <t>Long, plumose hairs present, sparse</t>
  </si>
  <si>
    <t>Long, plumose hairs present, dense</t>
  </si>
  <si>
    <t>#ABDOMEN</t>
  </si>
  <si>
    <t>resources/text/TaxonMS CR-1.html</t>
  </si>
  <si>
    <t>resources/text/TaxonMS CR-3.html</t>
  </si>
  <si>
    <t>resources/text/TaxonMS CR-4.html</t>
  </si>
  <si>
    <t>https://photos.smugmug.com/Misc/n-WzFZFQ/ID-Key-dialictus/i-pb2qvb9/0/0df0df30/X4/Lasioglossum%20ruidosense%2CPropodeum%2CIAE%20101898-X4.jpg</t>
  </si>
  <si>
    <t>https://photos.smugmug.com/Misc/n-WzFZFQ/ID-Key-dialictus/i-HzMQXJF/0/ae6728d6/L/Lasioglossum%20helianthi%2CTegula%2CIAE%20114063-L.jpg</t>
  </si>
  <si>
    <t>https://photos.smugmug.com/Misc/n-WzFZFQ/ID-Key-dialictus/i-PvXbdFL/0/7e8cd8e0/X3/Lasioglossum%20helianthi%2Cscutum%2CIAE%20114063-X3.jpg</t>
  </si>
  <si>
    <t>https://photos.smugmug.com/Misc/n-WzFZFQ/ID-Key-dialictus/i-26LCdGc/0/628fd026/4K/Lasioglossum%20hyalinum%2Cfemale%2CIAE%20102935-4K.jpg</t>
  </si>
  <si>
    <t>#Taxon helianthi</t>
  </si>
  <si>
    <t>https://photos.smugmug.com/Misc/n-WzFZFQ/ID-Key-dialictus/i-QQMVvf2/0/2ef0b0bb/X4/Lasioglossum%2Cthorax%2Cscutum%2Cboreale-X4.jpg</t>
  </si>
  <si>
    <t>https://photos.smugmug.com/Misc/n-WzFZFQ/ID-Key-dialictus/i-PXpDbs5/0/85821072/X4/Lasioglossum%20ruidosense%2CScutum%20pits%2CIAE%20103164-X4.jpg</t>
  </si>
  <si>
    <t>https://photos.smugmug.com/Misc/n-WzFZFQ/ID-Key-dialictus/i-ZccWJ8D/0/f0b5dd48/XL/Lasioglossum%20ruidosense%2CTegula%2CIAE%20103164-XL.jpg</t>
  </si>
  <si>
    <t>https://photos.smugmug.com/Misc/n-WzFZFQ/ID-Key-dialictus/i-DzXpR7m/2/86683744/X5/Lasioglossum%2Cabdomen%2Cbetter%2Ccressonii%2C108620-X5.jpg</t>
  </si>
  <si>
    <t>https://photos.smugmug.com/Misc/n-WzFZFQ/ID-Key-dialictus/i-Lv8DvR3/0/14abcffa/X4/Lasioglossum%20hyalinum%2CT2%20pits%2CIAE%20102935-X4.jpg</t>
  </si>
  <si>
    <t>https://photos.smugmug.com/Misc/n-WzFZFQ/ID-Key-dialictus/i-sgX54SK/0/e2dbd323/X3/Lasioglossum%20hyalinum%2Cfemale%2Cpropodeum2%2CIAE%20102935-X3.jpg</t>
  </si>
  <si>
    <t>https://photos.smugmug.com/Misc/n-WzFZFQ/ID-Key-dialictus/i-7Jb9Xrp/0/f0b6b0c2/4K/Lasioglossum%20hyalinum%2Cfemale%2Cabdomen%2CIAE%20102935-4K.jpg</t>
  </si>
  <si>
    <t>https://photos.smugmug.com/Misc/n-WzFZFQ/ID-Key-dialictus/i-qQ3fCHm/0/9a0e6498/4K/Lasioglossum%20MS%20CR-4%2Cfemale%2Cdorsal%2CIAE%20107130-4K.jpg</t>
  </si>
  <si>
    <t>#Taxon MS CR-4</t>
  </si>
  <si>
    <t>https://photos.smugmug.com/Misc/n-WzFZFQ/ID-Key-dialictus/i-kPJMCFn/0/221966c0/XL/Lasioglossum%20MS%20CR-4%2Cpropodeum%2CIAE%20107130-XL.jpg</t>
  </si>
  <si>
    <t>https://photos.smugmug.com/Misc/n-WzFZFQ/ID-Key-dialictus/i-SmDmwD2/0/e1de5e85/X2/Lasioglossum%20MS%20CR-4%2Cfemale%2CT1%20anterior%20view%2CIAE%20107130-X2.jpg</t>
  </si>
  <si>
    <t>https://photos.smugmug.com/Misc/n-WzFZFQ/ID-Key-dialictus/i-K2rkTxn/0/b2bdeabb/X4/Lasioglossum%20MS%20CR-1%2Cfemale%2Chead%2CIAE%20112057_-X4.jpg</t>
  </si>
  <si>
    <t>#Taxon MS CR-1</t>
  </si>
  <si>
    <t>https://photos.smugmug.com/Misc/n-WzFZFQ/ID-Key-dialictus/i-zDsQ2Pn/0/3de58adb/4K/Lasioglossum%20MS%20CR-4%2Cfemale%2Clateral%2CIAE%20113911_-4K.jpg</t>
  </si>
  <si>
    <t>https://photos.smugmug.com/Misc/n-WzFZFQ/ID-Key-dialictus/i-zQGQQ5J/0/6ad93384/X3/Lasioglossum%20MS%20CR-1%2Cmesepisternum%2CIAE%20112057_-X3.jpg</t>
  </si>
  <si>
    <t>https://photos.smugmug.com/Misc/n-WzFZFQ/ID-Key-dialictus/i-wc8tqr5/0/0089f61a/X3/Lasioglossum%20MS%20CR-4%2Cfemale%2Chead%2CIAE112218-X3.jpg</t>
  </si>
  <si>
    <t>https://photos.smugmug.com/Misc/n-WzFZFQ/ID-Key-dialictus/i-w4DBm3M/0/81b8a31c/X5/Lasioglossum%20MS%20CR-4%2Cfemale%2Cdorsal%2CIAE112218-X5.jpg</t>
  </si>
  <si>
    <t>#Taxon pruinosum</t>
  </si>
  <si>
    <t>https://photos.smugmug.com/Misc/n-WzFZFQ/ID-Key-dialictus/i-MKNkWDn/0/f5f8e825/4K/Lasioglossum%20pruinosum%2Cfemale%2Clateral%2CIAE113178-4K.jpg</t>
  </si>
  <si>
    <t>https://photos.smugmug.com/Misc/n-WzFZFQ/ID-Key-dialictus/i-nCcq3kZ/0/364d8168/X4/Lasioglossum%20pruinosum%2Cfemale%2Chead%2CIAE106452-X4.jpg</t>
  </si>
  <si>
    <t>https://photos.smugmug.com/Misc/n-WzFZFQ/ID-Key-dialictus/i-nZ7PrLG/0/0b840954/X4/Lasioglossum%2Chead%2Chead%2C%20LxW%20.78%2Calbipenne-X4.jpg</t>
  </si>
  <si>
    <t>HeadDimensions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</si>
</sst>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1"/>
      <color theme="10"/>
      <name val="Calibri"/>
      <family val="2"/>
      <scheme val="minor"/>
    </font>
    <font>
      <sz val="8"/>
      <name val="Calibri"/>
      <family val="2"/>
      <scheme val="minor"/>
    </font>
    <font>
      <i/>
      <sz val="12"/>
      <color theme="1"/>
      <name val="Calibri"/>
      <family val="2"/>
      <scheme val="minor"/>
    </font>
    <font>
      <sz val="14"/>
      <color rgb="FF000000"/>
      <name val="Arial"/>
      <family val="2"/>
    </font>
    <font>
      <sz val="12"/>
      <color rgb="FFFF0000"/>
      <name val="Calibri"/>
      <family val="2"/>
      <scheme val="minor"/>
    </font>
    <font>
      <sz val="11"/>
      <color rgb="FF000000"/>
      <name val="Calibri"/>
      <family val="2"/>
    </font>
    <font>
      <sz val="14"/>
      <color theme="1"/>
      <name val="Calibri"/>
      <family val="2"/>
      <scheme val="minor"/>
    </font>
    <font>
      <b/>
      <sz val="14"/>
      <color theme="1"/>
      <name val="Calibri"/>
      <family val="2"/>
      <scheme val="minor"/>
    </font>
    <font>
      <b/>
      <sz val="16"/>
      <color theme="1"/>
      <name val="Calibri"/>
      <family val="2"/>
      <scheme val="minor"/>
    </font>
    <font>
      <b/>
      <sz val="16"/>
      <color theme="1"/>
      <name val="Calibri"/>
      <family val="2"/>
    </font>
    <font>
      <i/>
      <sz val="12"/>
      <color rgb="FFFF0000"/>
      <name val="Calibri"/>
      <family val="2"/>
      <scheme val="minor"/>
    </font>
    <font>
      <sz val="14"/>
      <color theme="1"/>
      <name val="Arial"/>
      <family val="2"/>
    </font>
    <font>
      <b/>
      <sz val="16"/>
      <color theme="1"/>
      <name val="Calibri (Body)"/>
    </font>
    <font>
      <b/>
      <sz val="12"/>
      <color theme="1"/>
      <name val="Calibri (Body)"/>
    </font>
    <font>
      <sz val="11"/>
      <color theme="1"/>
      <name val="Times New Roman"/>
      <family val="1"/>
    </font>
    <font>
      <sz val="12"/>
      <color theme="1"/>
      <name val="Calibri (Body)"/>
    </font>
    <font>
      <u/>
      <sz val="12"/>
      <color theme="1"/>
      <name val="Calibri"/>
      <family val="2"/>
      <scheme val="minor"/>
    </font>
    <font>
      <sz val="14"/>
      <color rgb="FFFF0000"/>
      <name val="Arial"/>
      <family val="2"/>
    </font>
    <font>
      <sz val="16"/>
      <color theme="1"/>
      <name val="Calibri (Body)"/>
    </font>
    <font>
      <sz val="15"/>
      <color rgb="FF000000"/>
      <name val="Arial"/>
      <family val="2"/>
    </font>
    <font>
      <i/>
      <sz val="11"/>
      <color theme="1"/>
      <name val="Calibri"/>
      <family val="2"/>
      <scheme val="minor"/>
    </font>
    <font>
      <b/>
      <sz val="11"/>
      <color rgb="FFFF0000"/>
      <name val="Arial"/>
      <family val="2"/>
    </font>
    <font>
      <u/>
      <sz val="11"/>
      <color rgb="FFFF0000"/>
      <name val="Calibri"/>
      <family val="2"/>
      <scheme val="minor"/>
    </font>
    <font>
      <sz val="14"/>
      <color rgb="FFFF0000"/>
      <name val="Trebuchet MS"/>
      <family val="2"/>
    </font>
    <font>
      <b/>
      <sz val="11"/>
      <color rgb="FFFF0000"/>
      <name val="Calibri"/>
      <family val="2"/>
      <scheme val="minor"/>
    </font>
    <font>
      <b/>
      <sz val="12"/>
      <color theme="1"/>
      <name val="Calibri"/>
      <family val="2"/>
      <scheme val="minor"/>
    </font>
    <font>
      <b/>
      <i/>
      <sz val="12"/>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1"/>
        <bgColor theme="6"/>
      </patternFill>
    </fill>
    <fill>
      <patternFill patternType="solid">
        <fgColor theme="0"/>
        <bgColor theme="6"/>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right/>
      <top style="medium">
        <color indexed="64"/>
      </top>
      <bottom style="thin">
        <color indexed="64"/>
      </bottom>
      <diagonal/>
    </border>
    <border>
      <left/>
      <right style="thin">
        <color theme="0"/>
      </right>
      <top/>
      <bottom style="thick">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top/>
      <bottom style="thick">
        <color theme="0"/>
      </bottom>
      <diagonal/>
    </border>
  </borders>
  <cellStyleXfs count="45">
    <xf numFmtId="0" fontId="0" fillId="0" borderId="0"/>
    <xf numFmtId="0" fontId="23" fillId="0" borderId="0" applyNumberFormat="0" applyFill="0" applyBorder="0" applyAlignment="0" applyProtection="0"/>
    <xf numFmtId="0" fontId="24" fillId="0" borderId="1" applyNumberFormat="0" applyFill="0" applyAlignment="0" applyProtection="0"/>
    <xf numFmtId="0" fontId="25" fillId="0" borderId="2" applyNumberFormat="0" applyFill="0" applyAlignment="0" applyProtection="0"/>
    <xf numFmtId="0" fontId="26" fillId="0" borderId="3" applyNumberFormat="0" applyFill="0" applyAlignment="0" applyProtection="0"/>
    <xf numFmtId="0" fontId="26" fillId="0" borderId="0" applyNumberFormat="0" applyFill="0" applyBorder="0" applyAlignment="0" applyProtection="0"/>
    <xf numFmtId="0" fontId="27" fillId="2" borderId="0" applyNumberFormat="0" applyBorder="0" applyAlignment="0" applyProtection="0"/>
    <xf numFmtId="0" fontId="28" fillId="3" borderId="0" applyNumberFormat="0" applyBorder="0" applyAlignment="0" applyProtection="0"/>
    <xf numFmtId="0" fontId="29" fillId="4" borderId="0" applyNumberFormat="0" applyBorder="0" applyAlignment="0" applyProtection="0"/>
    <xf numFmtId="0" fontId="30" fillId="5" borderId="4" applyNumberFormat="0" applyAlignment="0" applyProtection="0"/>
    <xf numFmtId="0" fontId="31" fillId="6" borderId="5" applyNumberFormat="0" applyAlignment="0" applyProtection="0"/>
    <xf numFmtId="0" fontId="32" fillId="6" borderId="4" applyNumberFormat="0" applyAlignment="0" applyProtection="0"/>
    <xf numFmtId="0" fontId="33" fillId="0" borderId="6" applyNumberFormat="0" applyFill="0" applyAlignment="0" applyProtection="0"/>
    <xf numFmtId="0" fontId="34" fillId="7" borderId="7" applyNumberFormat="0" applyAlignment="0" applyProtection="0"/>
    <xf numFmtId="0" fontId="35" fillId="0" borderId="0" applyNumberFormat="0" applyFill="0" applyBorder="0" applyAlignment="0" applyProtection="0"/>
    <xf numFmtId="0" fontId="22" fillId="8" borderId="8" applyNumberFormat="0" applyFont="0" applyAlignment="0" applyProtection="0"/>
    <xf numFmtId="0" fontId="36" fillId="0" borderId="0" applyNumberFormat="0" applyFill="0" applyBorder="0" applyAlignment="0" applyProtection="0"/>
    <xf numFmtId="0" fontId="37" fillId="0" borderId="9" applyNumberFormat="0" applyFill="0" applyAlignment="0" applyProtection="0"/>
    <xf numFmtId="0" fontId="38" fillId="9"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38" fillId="16" borderId="0" applyNumberFormat="0" applyBorder="0" applyAlignment="0" applyProtection="0"/>
    <xf numFmtId="0" fontId="38"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38" fillId="20" borderId="0" applyNumberFormat="0" applyBorder="0" applyAlignment="0" applyProtection="0"/>
    <xf numFmtId="0" fontId="38"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38" fillId="24" borderId="0" applyNumberFormat="0" applyBorder="0" applyAlignment="0" applyProtection="0"/>
    <xf numFmtId="0" fontId="38" fillId="25" borderId="0" applyNumberFormat="0" applyBorder="0" applyAlignment="0" applyProtection="0"/>
    <xf numFmtId="0" fontId="22" fillId="26" borderId="0" applyNumberFormat="0" applyBorder="0" applyAlignment="0" applyProtection="0"/>
    <xf numFmtId="0" fontId="22" fillId="27"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22" fillId="30" borderId="0" applyNumberFormat="0" applyBorder="0" applyAlignment="0" applyProtection="0"/>
    <xf numFmtId="0" fontId="22" fillId="31" borderId="0" applyNumberFormat="0" applyBorder="0" applyAlignment="0" applyProtection="0"/>
    <xf numFmtId="0" fontId="38" fillId="32" borderId="0" applyNumberFormat="0" applyBorder="0" applyAlignment="0" applyProtection="0"/>
    <xf numFmtId="0" fontId="39" fillId="0" borderId="0"/>
    <xf numFmtId="0" fontId="40" fillId="0" borderId="0" applyNumberFormat="0" applyFill="0" applyBorder="0" applyAlignment="0" applyProtection="0"/>
    <xf numFmtId="0" fontId="12" fillId="0" borderId="0"/>
  </cellStyleXfs>
  <cellXfs count="97">
    <xf numFmtId="0" fontId="0" fillId="0" borderId="0" xfId="0"/>
    <xf numFmtId="0" fontId="37" fillId="0" borderId="0" xfId="0" applyFont="1"/>
    <xf numFmtId="49" fontId="0" fillId="0" borderId="0" xfId="0" applyNumberFormat="1" applyAlignment="1">
      <alignment wrapText="1"/>
    </xf>
    <xf numFmtId="49" fontId="0" fillId="0" borderId="0" xfId="0" applyNumberFormat="1"/>
    <xf numFmtId="0" fontId="0" fillId="0" borderId="0" xfId="0" applyAlignment="1">
      <alignment horizontal="left" vertical="top" wrapText="1"/>
    </xf>
    <xf numFmtId="0" fontId="21" fillId="0" borderId="0" xfId="0" applyFont="1"/>
    <xf numFmtId="0" fontId="20" fillId="0" borderId="0" xfId="0" applyFont="1"/>
    <xf numFmtId="14" fontId="20" fillId="0" borderId="0" xfId="0" applyNumberFormat="1" applyFont="1"/>
    <xf numFmtId="0" fontId="19" fillId="0" borderId="0" xfId="0" applyFont="1"/>
    <xf numFmtId="0" fontId="18" fillId="0" borderId="0" xfId="0" applyFont="1"/>
    <xf numFmtId="0" fontId="17" fillId="0" borderId="0" xfId="0" applyFont="1"/>
    <xf numFmtId="0" fontId="42" fillId="0" borderId="0" xfId="0" applyFont="1"/>
    <xf numFmtId="0" fontId="43" fillId="0" borderId="0" xfId="0" applyFont="1"/>
    <xf numFmtId="0" fontId="44" fillId="0" borderId="0" xfId="0" applyFont="1"/>
    <xf numFmtId="0" fontId="16" fillId="0" borderId="0" xfId="0" applyFont="1"/>
    <xf numFmtId="0" fontId="15" fillId="0" borderId="0" xfId="0" applyFont="1"/>
    <xf numFmtId="0" fontId="14" fillId="0" borderId="0" xfId="0" applyFont="1"/>
    <xf numFmtId="0" fontId="13" fillId="0" borderId="0" xfId="0" applyFont="1"/>
    <xf numFmtId="0" fontId="12" fillId="0" borderId="0" xfId="0" applyFont="1"/>
    <xf numFmtId="0" fontId="11" fillId="0" borderId="0" xfId="0" applyFont="1"/>
    <xf numFmtId="0" fontId="44" fillId="0" borderId="0" xfId="44" applyFont="1"/>
    <xf numFmtId="0" fontId="10" fillId="0" borderId="0" xfId="0" applyFont="1"/>
    <xf numFmtId="0" fontId="47" fillId="0" borderId="10" xfId="0" applyFont="1" applyBorder="1"/>
    <xf numFmtId="0" fontId="46" fillId="0" borderId="10" xfId="0" applyFont="1" applyBorder="1"/>
    <xf numFmtId="0" fontId="9" fillId="0" borderId="0" xfId="0" applyFont="1"/>
    <xf numFmtId="0" fontId="48" fillId="0" borderId="0" xfId="44" applyFont="1"/>
    <xf numFmtId="0" fontId="49" fillId="0" borderId="0" xfId="44" applyFont="1"/>
    <xf numFmtId="0" fontId="48" fillId="0" borderId="0" xfId="0" applyFont="1"/>
    <xf numFmtId="0" fontId="49" fillId="0" borderId="0" xfId="0" applyFont="1"/>
    <xf numFmtId="0" fontId="50" fillId="0" borderId="0" xfId="0" applyFont="1"/>
    <xf numFmtId="0" fontId="35" fillId="0" borderId="0" xfId="0" applyFont="1"/>
    <xf numFmtId="0" fontId="8" fillId="0" borderId="0" xfId="0" applyFont="1"/>
    <xf numFmtId="9" fontId="44" fillId="0" borderId="0" xfId="44" applyNumberFormat="1" applyFont="1"/>
    <xf numFmtId="0" fontId="7" fillId="0" borderId="0" xfId="0" applyFont="1"/>
    <xf numFmtId="0" fontId="51" fillId="0" borderId="0" xfId="0" applyFont="1"/>
    <xf numFmtId="9" fontId="51" fillId="0" borderId="0" xfId="0" applyNumberFormat="1" applyFont="1"/>
    <xf numFmtId="0" fontId="6" fillId="0" borderId="0" xfId="0" applyFont="1"/>
    <xf numFmtId="0" fontId="5" fillId="0" borderId="0" xfId="0" applyFont="1"/>
    <xf numFmtId="0" fontId="47" fillId="0" borderId="10" xfId="0" applyFont="1" applyBorder="1" applyAlignment="1">
      <alignment wrapText="1"/>
    </xf>
    <xf numFmtId="0" fontId="52" fillId="0" borderId="10" xfId="0" applyFont="1" applyBorder="1" applyAlignment="1">
      <alignment wrapText="1"/>
    </xf>
    <xf numFmtId="0" fontId="54" fillId="0" borderId="0" xfId="0" applyFont="1"/>
    <xf numFmtId="0" fontId="4" fillId="33" borderId="0" xfId="44" applyFont="1" applyFill="1"/>
    <xf numFmtId="0" fontId="52" fillId="0" borderId="0" xfId="44" applyFont="1"/>
    <xf numFmtId="0" fontId="55" fillId="0" borderId="0" xfId="44" applyFont="1"/>
    <xf numFmtId="9" fontId="55" fillId="0" borderId="0" xfId="44" applyNumberFormat="1" applyFont="1"/>
    <xf numFmtId="0" fontId="56" fillId="0" borderId="0" xfId="44" applyFont="1"/>
    <xf numFmtId="9" fontId="4" fillId="0" borderId="0" xfId="0" applyNumberFormat="1" applyFont="1"/>
    <xf numFmtId="0" fontId="4" fillId="0" borderId="0" xfId="0" applyFont="1"/>
    <xf numFmtId="0" fontId="4" fillId="0" borderId="0" xfId="44" applyFont="1"/>
    <xf numFmtId="9" fontId="4" fillId="0" borderId="0" xfId="44" applyNumberFormat="1" applyFont="1"/>
    <xf numFmtId="0" fontId="57" fillId="0" borderId="0" xfId="0" applyFont="1"/>
    <xf numFmtId="9" fontId="57" fillId="0" borderId="0" xfId="0" applyNumberFormat="1" applyFont="1"/>
    <xf numFmtId="0" fontId="58" fillId="0" borderId="0" xfId="44" applyFont="1"/>
    <xf numFmtId="0" fontId="59" fillId="0" borderId="0" xfId="0" applyFont="1"/>
    <xf numFmtId="0" fontId="60" fillId="0" borderId="11" xfId="0" applyFont="1" applyBorder="1" applyAlignment="1">
      <alignment horizontal="center"/>
    </xf>
    <xf numFmtId="0" fontId="61" fillId="0" borderId="0" xfId="0" applyFont="1"/>
    <xf numFmtId="0" fontId="61" fillId="0" borderId="0" xfId="0" applyFont="1" applyAlignment="1">
      <alignment vertical="center"/>
    </xf>
    <xf numFmtId="0" fontId="3" fillId="0" borderId="0" xfId="44" applyFont="1"/>
    <xf numFmtId="0" fontId="0" fillId="34" borderId="0" xfId="0" applyFill="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0" fontId="0" fillId="36" borderId="13" xfId="0" applyFill="1" applyBorder="1"/>
    <xf numFmtId="0" fontId="0" fillId="35" borderId="13" xfId="0" applyFill="1" applyBorder="1"/>
    <xf numFmtId="0" fontId="0" fillId="35" borderId="14" xfId="0" applyFill="1" applyBorder="1"/>
    <xf numFmtId="0" fontId="0" fillId="36" borderId="15" xfId="0" applyFill="1" applyBorder="1"/>
    <xf numFmtId="0" fontId="0" fillId="35" borderId="15" xfId="0" applyFill="1" applyBorder="1"/>
    <xf numFmtId="0" fontId="0" fillId="35" borderId="16" xfId="0" applyFill="1" applyBorder="1"/>
    <xf numFmtId="0" fontId="0" fillId="36" borderId="18" xfId="0" applyFill="1" applyBorder="1"/>
    <xf numFmtId="0" fontId="0" fillId="35" borderId="18" xfId="0" applyFill="1" applyBorder="1"/>
    <xf numFmtId="0" fontId="0" fillId="35" borderId="19" xfId="0" applyFill="1" applyBorder="1"/>
    <xf numFmtId="2" fontId="0" fillId="35" borderId="15" xfId="0" applyNumberFormat="1" applyFill="1" applyBorder="1"/>
    <xf numFmtId="1" fontId="0" fillId="35" borderId="15" xfId="0" applyNumberFormat="1" applyFill="1" applyBorder="1"/>
    <xf numFmtId="2" fontId="0" fillId="36" borderId="15" xfId="0" applyNumberFormat="1" applyFill="1" applyBorder="1"/>
    <xf numFmtId="1" fontId="0" fillId="36" borderId="15" xfId="0" applyNumberFormat="1" applyFill="1" applyBorder="1"/>
    <xf numFmtId="2" fontId="0" fillId="35" borderId="18" xfId="0" applyNumberFormat="1" applyFill="1" applyBorder="1"/>
    <xf numFmtId="2" fontId="0" fillId="35" borderId="16" xfId="0" applyNumberFormat="1" applyFill="1" applyBorder="1"/>
    <xf numFmtId="1" fontId="0" fillId="35" borderId="16" xfId="0" applyNumberFormat="1" applyFill="1" applyBorder="1"/>
    <xf numFmtId="0" fontId="38" fillId="0" borderId="0" xfId="0" applyFont="1"/>
    <xf numFmtId="0" fontId="34" fillId="38" borderId="12" xfId="0" applyFont="1" applyFill="1" applyBorder="1"/>
    <xf numFmtId="0" fontId="62" fillId="0" borderId="0" xfId="43" applyFont="1"/>
    <xf numFmtId="0" fontId="63" fillId="0" borderId="0" xfId="0" applyFont="1"/>
    <xf numFmtId="0" fontId="2" fillId="0" borderId="0" xfId="0" applyFont="1"/>
    <xf numFmtId="0" fontId="0" fillId="0" borderId="0" xfId="0" applyAlignment="1">
      <alignment horizontal="left" wrapText="1"/>
    </xf>
    <xf numFmtId="0" fontId="0" fillId="0" borderId="0" xfId="0" applyAlignment="1">
      <alignment horizontal="left" vertical="top" wrapText="1"/>
    </xf>
    <xf numFmtId="0" fontId="40" fillId="0" borderId="0" xfId="43" applyAlignment="1">
      <alignment horizontal="left" vertical="top" wrapText="1"/>
    </xf>
    <xf numFmtId="0" fontId="34" fillId="37" borderId="17" xfId="0" applyFont="1" applyFill="1" applyBorder="1"/>
    <xf numFmtId="0" fontId="38" fillId="33" borderId="20" xfId="0" applyFont="1" applyFill="1" applyBorder="1"/>
    <xf numFmtId="0" fontId="38" fillId="33" borderId="12" xfId="0" applyFont="1" applyFill="1" applyBorder="1"/>
    <xf numFmtId="0" fontId="64" fillId="0" borderId="0" xfId="0" applyFont="1"/>
    <xf numFmtId="0" fontId="1" fillId="0" borderId="0" xfId="0" applyFont="1"/>
    <xf numFmtId="0" fontId="1" fillId="0" borderId="0" xfId="44" applyFont="1"/>
    <xf numFmtId="0" fontId="53" fillId="0" borderId="0" xfId="44" applyFont="1"/>
    <xf numFmtId="9" fontId="65" fillId="0" borderId="0" xfId="44" applyNumberFormat="1" applyFont="1"/>
    <xf numFmtId="0" fontId="65" fillId="0" borderId="0" xfId="44" applyFont="1"/>
    <xf numFmtId="0" fontId="66" fillId="0" borderId="0" xfId="0" applyFon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3" xfId="44" xr:uid="{C3654CFA-97B5-CB49-A8A9-AD111D86B2D1}"/>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2" formatCode="0.00"/>
    </dxf>
    <dxf>
      <numFmt numFmtId="2" formatCode="0.00"/>
    </dxf>
    <dxf>
      <numFmt numFmtId="1" formatCode="0"/>
    </dxf>
    <dxf>
      <numFmt numFmtId="2" formatCode="0.00"/>
    </dxf>
    <dxf>
      <numFmt numFmtId="2" formatCode="0.00"/>
    </dxf>
    <dxf>
      <numFmt numFmtId="2" formatCode="0.0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mesiglab</c:v>
                </c:pt>
                <c:pt idx="8">
                  <c:v>L. ruidosense</c:v>
                </c:pt>
                <c:pt idx="9">
                  <c:v>L. villobar</c:v>
                </c:pt>
                <c:pt idx="10">
                  <c:v>L. kincaidii</c:v>
                </c:pt>
                <c:pt idx="11">
                  <c:v>L. avalonense</c:v>
                </c:pt>
                <c:pt idx="12">
                  <c:v>L. v</c:v>
                </c:pt>
                <c:pt idx="13">
                  <c:v>L. hyalinum</c:v>
                </c:pt>
                <c:pt idx="14">
                  <c:v>L. argemonis</c:v>
                </c:pt>
                <c:pt idx="15">
                  <c:v>L. cavness</c:v>
                </c:pt>
              </c:strCache>
            </c:strRef>
          </c:cat>
          <c:val>
            <c:numRef>
              <c:f>Notes!$F$56:$F$71</c:f>
              <c:numCache>
                <c:formatCode>General</c:formatCode>
                <c:ptCount val="16"/>
                <c:pt idx="0">
                  <c:v>0</c:v>
                </c:pt>
                <c:pt idx="1">
                  <c:v>0.47408343868520858</c:v>
                </c:pt>
                <c:pt idx="2">
                  <c:v>0.17699115044247787</c:v>
                </c:pt>
                <c:pt idx="3">
                  <c:v>0.16434892541087232</c:v>
                </c:pt>
                <c:pt idx="4">
                  <c:v>7.5853350189633378E-2</c:v>
                </c:pt>
                <c:pt idx="5">
                  <c:v>6.3211125158027806E-2</c:v>
                </c:pt>
                <c:pt idx="6">
                  <c:v>1.2642225031605562E-2</c:v>
                </c:pt>
                <c:pt idx="7">
                  <c:v>1.0113780025284451E-2</c:v>
                </c:pt>
                <c:pt idx="8">
                  <c:v>7.5853350189633373E-3</c:v>
                </c:pt>
                <c:pt idx="9">
                  <c:v>6.321112515802781E-3</c:v>
                </c:pt>
                <c:pt idx="10">
                  <c:v>3.7926675094816687E-3</c:v>
                </c:pt>
                <c:pt idx="11">
                  <c:v>2.5284450063211127E-3</c:v>
                </c:pt>
                <c:pt idx="12">
                  <c:v>1.2642225031605564E-3</c:v>
                </c:pt>
                <c:pt idx="13">
                  <c:v>1.2642225031605564E-3</c:v>
                </c:pt>
                <c:pt idx="14">
                  <c:v>0</c:v>
                </c:pt>
                <c:pt idx="15">
                  <c:v>0</c:v>
                </c:pt>
              </c:numCache>
            </c:numRef>
          </c:val>
          <c:extLst>
            <c:ext xmlns:c16="http://schemas.microsoft.com/office/drawing/2014/chart" uri="{C3380CC4-5D6E-409C-BE32-E72D297353CC}">
              <c16:uniqueId val="{00000000-94CE-3E41-9E95-60A419656822}"/>
            </c:ext>
          </c:extLst>
        </c:ser>
        <c:ser>
          <c:idx val="1"/>
          <c:order val="1"/>
          <c:spPr>
            <a:solidFill>
              <a:schemeClr val="accent2"/>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mesiglab</c:v>
                </c:pt>
                <c:pt idx="8">
                  <c:v>L. ruidosense</c:v>
                </c:pt>
                <c:pt idx="9">
                  <c:v>L. villobar</c:v>
                </c:pt>
                <c:pt idx="10">
                  <c:v>L. kincaidii</c:v>
                </c:pt>
                <c:pt idx="11">
                  <c:v>L. avalonense</c:v>
                </c:pt>
                <c:pt idx="12">
                  <c:v>L. v</c:v>
                </c:pt>
                <c:pt idx="13">
                  <c:v>L. hyalinum</c:v>
                </c:pt>
                <c:pt idx="14">
                  <c:v>L. argemonis</c:v>
                </c:pt>
                <c:pt idx="15">
                  <c:v>L. cavness</c:v>
                </c:pt>
              </c:strCache>
            </c:strRef>
          </c:cat>
          <c:val>
            <c:numRef>
              <c:f>Notes!$G$56:$G$71</c:f>
              <c:numCache>
                <c:formatCode>General</c:formatCode>
                <c:ptCount val="16"/>
                <c:pt idx="0">
                  <c:v>0</c:v>
                </c:pt>
                <c:pt idx="1">
                  <c:v>0.12903225806451613</c:v>
                </c:pt>
                <c:pt idx="2">
                  <c:v>0.16129032258064516</c:v>
                </c:pt>
                <c:pt idx="3">
                  <c:v>9.6774193548387094E-2</c:v>
                </c:pt>
                <c:pt idx="4">
                  <c:v>6.4516129032258063E-2</c:v>
                </c:pt>
                <c:pt idx="5">
                  <c:v>0.20967741935483872</c:v>
                </c:pt>
                <c:pt idx="6">
                  <c:v>8.0645161290322578E-2</c:v>
                </c:pt>
                <c:pt idx="7">
                  <c:v>3.2258064516129031E-2</c:v>
                </c:pt>
                <c:pt idx="8">
                  <c:v>0.14516129032258066</c:v>
                </c:pt>
                <c:pt idx="9">
                  <c:v>0</c:v>
                </c:pt>
                <c:pt idx="10">
                  <c:v>1.6129032258064516E-2</c:v>
                </c:pt>
                <c:pt idx="11">
                  <c:v>0</c:v>
                </c:pt>
                <c:pt idx="12">
                  <c:v>0</c:v>
                </c:pt>
                <c:pt idx="13">
                  <c:v>0</c:v>
                </c:pt>
                <c:pt idx="14">
                  <c:v>3.2258064516129031E-2</c:v>
                </c:pt>
                <c:pt idx="15">
                  <c:v>3.2258064516129031E-2</c:v>
                </c:pt>
              </c:numCache>
            </c:numRef>
          </c:val>
          <c:extLst>
            <c:ext xmlns:c16="http://schemas.microsoft.com/office/drawing/2014/chart" uri="{C3380CC4-5D6E-409C-BE32-E72D297353CC}">
              <c16:uniqueId val="{00000001-94CE-3E41-9E95-60A419656822}"/>
            </c:ext>
          </c:extLst>
        </c:ser>
        <c:dLbls>
          <c:dLblPos val="inEnd"/>
          <c:showLegendKey val="0"/>
          <c:showVal val="1"/>
          <c:showCatName val="0"/>
          <c:showSerName val="0"/>
          <c:showPercent val="0"/>
          <c:showBubbleSize val="0"/>
        </c:dLbls>
        <c:gapWidth val="219"/>
        <c:overlap val="-27"/>
        <c:axId val="85150928"/>
        <c:axId val="85152576"/>
      </c:barChart>
      <c:catAx>
        <c:axId val="8515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2576"/>
        <c:crosses val="autoZero"/>
        <c:auto val="1"/>
        <c:lblAlgn val="ctr"/>
        <c:lblOffset val="100"/>
        <c:noMultiLvlLbl val="0"/>
      </c:catAx>
      <c:valAx>
        <c:axId val="8515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Lasioglossum sensu</a:t>
            </a:r>
            <a:r>
              <a:rPr lang="en-US" baseline="0"/>
              <a:t> lato - species distribution Mar 1 2023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Notes!$F$56</c:f>
              <c:strCache>
                <c:ptCount val="1"/>
                <c:pt idx="0">
                  <c:v>Oregon</c:v>
                </c:pt>
              </c:strCache>
            </c:strRef>
          </c:tx>
          <c:spPr>
            <a:solidFill>
              <a:schemeClr val="accent1"/>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mesiglab</c:v>
                </c:pt>
                <c:pt idx="7">
                  <c:v>L. ruidosense</c:v>
                </c:pt>
                <c:pt idx="8">
                  <c:v>L. villobar</c:v>
                </c:pt>
                <c:pt idx="9">
                  <c:v>L. kincaidii</c:v>
                </c:pt>
                <c:pt idx="10">
                  <c:v>L. avalonense</c:v>
                </c:pt>
                <c:pt idx="11">
                  <c:v>L. v</c:v>
                </c:pt>
                <c:pt idx="12">
                  <c:v>L. hyalinum</c:v>
                </c:pt>
                <c:pt idx="13">
                  <c:v>L. argemonis</c:v>
                </c:pt>
                <c:pt idx="14">
                  <c:v>L. cavness</c:v>
                </c:pt>
              </c:strCache>
            </c:strRef>
          </c:cat>
          <c:val>
            <c:numRef>
              <c:f>Notes!$F$57:$F$71</c:f>
              <c:numCache>
                <c:formatCode>General</c:formatCode>
                <c:ptCount val="15"/>
                <c:pt idx="0">
                  <c:v>0.47408343868520858</c:v>
                </c:pt>
                <c:pt idx="1">
                  <c:v>0.17699115044247787</c:v>
                </c:pt>
                <c:pt idx="2">
                  <c:v>0.16434892541087232</c:v>
                </c:pt>
                <c:pt idx="3">
                  <c:v>7.5853350189633378E-2</c:v>
                </c:pt>
                <c:pt idx="4">
                  <c:v>6.3211125158027806E-2</c:v>
                </c:pt>
                <c:pt idx="5">
                  <c:v>1.2642225031605562E-2</c:v>
                </c:pt>
                <c:pt idx="6">
                  <c:v>1.0113780025284451E-2</c:v>
                </c:pt>
                <c:pt idx="7">
                  <c:v>7.5853350189633373E-3</c:v>
                </c:pt>
                <c:pt idx="8">
                  <c:v>6.321112515802781E-3</c:v>
                </c:pt>
                <c:pt idx="9">
                  <c:v>3.7926675094816687E-3</c:v>
                </c:pt>
                <c:pt idx="10">
                  <c:v>2.5284450063211127E-3</c:v>
                </c:pt>
                <c:pt idx="11">
                  <c:v>1.2642225031605564E-3</c:v>
                </c:pt>
                <c:pt idx="12">
                  <c:v>1.2642225031605564E-3</c:v>
                </c:pt>
                <c:pt idx="13">
                  <c:v>0</c:v>
                </c:pt>
                <c:pt idx="14">
                  <c:v>0</c:v>
                </c:pt>
              </c:numCache>
            </c:numRef>
          </c:val>
          <c:extLst>
            <c:ext xmlns:c16="http://schemas.microsoft.com/office/drawing/2014/chart" uri="{C3380CC4-5D6E-409C-BE32-E72D297353CC}">
              <c16:uniqueId val="{00000000-A65F-0B43-A3D3-66523B3A309B}"/>
            </c:ext>
          </c:extLst>
        </c:ser>
        <c:ser>
          <c:idx val="1"/>
          <c:order val="1"/>
          <c:tx>
            <c:strRef>
              <c:f>Notes!$G$56</c:f>
              <c:strCache>
                <c:ptCount val="1"/>
                <c:pt idx="0">
                  <c:v>Washington</c:v>
                </c:pt>
              </c:strCache>
            </c:strRef>
          </c:tx>
          <c:spPr>
            <a:solidFill>
              <a:schemeClr val="accent2"/>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mesiglab</c:v>
                </c:pt>
                <c:pt idx="7">
                  <c:v>L. ruidosense</c:v>
                </c:pt>
                <c:pt idx="8">
                  <c:v>L. villobar</c:v>
                </c:pt>
                <c:pt idx="9">
                  <c:v>L. kincaidii</c:v>
                </c:pt>
                <c:pt idx="10">
                  <c:v>L. avalonense</c:v>
                </c:pt>
                <c:pt idx="11">
                  <c:v>L. v</c:v>
                </c:pt>
                <c:pt idx="12">
                  <c:v>L. hyalinum</c:v>
                </c:pt>
                <c:pt idx="13">
                  <c:v>L. argemonis</c:v>
                </c:pt>
                <c:pt idx="14">
                  <c:v>L. cavness</c:v>
                </c:pt>
              </c:strCache>
            </c:strRef>
          </c:cat>
          <c:val>
            <c:numRef>
              <c:f>Notes!$G$57:$G$71</c:f>
              <c:numCache>
                <c:formatCode>General</c:formatCode>
                <c:ptCount val="15"/>
                <c:pt idx="0">
                  <c:v>0.12903225806451613</c:v>
                </c:pt>
                <c:pt idx="1">
                  <c:v>0.16129032258064516</c:v>
                </c:pt>
                <c:pt idx="2">
                  <c:v>9.6774193548387094E-2</c:v>
                </c:pt>
                <c:pt idx="3">
                  <c:v>6.4516129032258063E-2</c:v>
                </c:pt>
                <c:pt idx="4">
                  <c:v>0.20967741935483872</c:v>
                </c:pt>
                <c:pt idx="5">
                  <c:v>8.0645161290322578E-2</c:v>
                </c:pt>
                <c:pt idx="6">
                  <c:v>3.2258064516129031E-2</c:v>
                </c:pt>
                <c:pt idx="7">
                  <c:v>0.14516129032258066</c:v>
                </c:pt>
                <c:pt idx="8">
                  <c:v>0</c:v>
                </c:pt>
                <c:pt idx="9">
                  <c:v>1.6129032258064516E-2</c:v>
                </c:pt>
                <c:pt idx="10">
                  <c:v>0</c:v>
                </c:pt>
                <c:pt idx="11">
                  <c:v>0</c:v>
                </c:pt>
                <c:pt idx="12">
                  <c:v>0</c:v>
                </c:pt>
                <c:pt idx="13">
                  <c:v>3.2258064516129031E-2</c:v>
                </c:pt>
                <c:pt idx="14">
                  <c:v>3.2258064516129031E-2</c:v>
                </c:pt>
              </c:numCache>
            </c:numRef>
          </c:val>
          <c:extLst>
            <c:ext xmlns:c16="http://schemas.microsoft.com/office/drawing/2014/chart" uri="{C3380CC4-5D6E-409C-BE32-E72D297353CC}">
              <c16:uniqueId val="{00000001-A65F-0B43-A3D3-66523B3A309B}"/>
            </c:ext>
          </c:extLst>
        </c:ser>
        <c:dLbls>
          <c:showLegendKey val="0"/>
          <c:showVal val="0"/>
          <c:showCatName val="0"/>
          <c:showSerName val="0"/>
          <c:showPercent val="0"/>
          <c:showBubbleSize val="0"/>
        </c:dLbls>
        <c:gapWidth val="219"/>
        <c:overlap val="-27"/>
        <c:axId val="355724480"/>
        <c:axId val="1284549295"/>
      </c:barChart>
      <c:catAx>
        <c:axId val="35572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549295"/>
        <c:crosses val="autoZero"/>
        <c:auto val="1"/>
        <c:lblAlgn val="ctr"/>
        <c:lblOffset val="100"/>
        <c:noMultiLvlLbl val="0"/>
      </c:catAx>
      <c:valAx>
        <c:axId val="1284549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724480"/>
        <c:crosses val="autoZero"/>
        <c:crossBetween val="between"/>
      </c:valAx>
      <c:spPr>
        <a:noFill/>
        <a:ln>
          <a:noFill/>
        </a:ln>
        <a:effectLst/>
      </c:spPr>
    </c:plotArea>
    <c:legend>
      <c:legendPos val="b"/>
      <c:layout>
        <c:manualLayout>
          <c:xMode val="edge"/>
          <c:yMode val="edge"/>
          <c:x val="0.49252916699572136"/>
          <c:y val="0.28415385068914573"/>
          <c:w val="0.28416500677016837"/>
          <c:h val="6.02319128467710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71ED3B73-FE97-D247-9EA9-FDB35FB979A7}">
          <cx:dataId val="0"/>
          <cx:layoutPr>
            <cx:binning intervalClosed="r">
              <cx:binSize val="0.02"/>
            </cx:binning>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7</xdr:row>
          <xdr:rowOff>0</xdr:rowOff>
        </xdr:from>
        <xdr:to>
          <xdr:col>2</xdr:col>
          <xdr:colOff>520700</xdr:colOff>
          <xdr:row>8</xdr:row>
          <xdr:rowOff>177800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pitchFamily="2" charset="0"/>
                  <a:cs typeface="Calibri" pitchFamily="2" charset="0"/>
                </a:rPr>
                <a:t>Save worksheets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177800</xdr:rowOff>
        </xdr:from>
        <xdr:to>
          <xdr:col>2</xdr:col>
          <xdr:colOff>508000</xdr:colOff>
          <xdr:row>5</xdr:row>
          <xdr:rowOff>330200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pitchFamily="2" charset="0"/>
                  <a:cs typeface="Calibri" pitchFamily="2" charset="0"/>
                </a:rPr>
                <a:t>Get max and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xdr:row>
          <xdr:rowOff>12700</xdr:rowOff>
        </xdr:from>
        <xdr:to>
          <xdr:col>2</xdr:col>
          <xdr:colOff>520700</xdr:colOff>
          <xdr:row>3</xdr:row>
          <xdr:rowOff>368300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pitchFamily="2" charset="0"/>
                  <a:cs typeface="Calibri" pitchFamily="2" charset="0"/>
                </a:rPr>
                <a:t>Get unique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1435100</xdr:colOff>
      <xdr:row>48</xdr:row>
      <xdr:rowOff>323850</xdr:rowOff>
    </xdr:from>
    <xdr:to>
      <xdr:col>12</xdr:col>
      <xdr:colOff>114300</xdr:colOff>
      <xdr:row>54</xdr:row>
      <xdr:rowOff>412750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1123951</xdr:colOff>
      <xdr:row>49</xdr:row>
      <xdr:rowOff>323850</xdr:rowOff>
    </xdr:from>
    <xdr:to>
      <xdr:col>9</xdr:col>
      <xdr:colOff>475108</xdr:colOff>
      <xdr:row>58</xdr:row>
      <xdr:rowOff>173597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672682</xdr:colOff>
      <xdr:row>35</xdr:row>
      <xdr:rowOff>191476</xdr:rowOff>
    </xdr:from>
    <xdr:to>
      <xdr:col>18</xdr:col>
      <xdr:colOff>304242</xdr:colOff>
      <xdr:row>50</xdr:row>
      <xdr:rowOff>3907</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48582" y="6858976"/>
              <a:ext cx="5778360" cy="26699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Cappaert" refreshedDate="45189.536417592593" createdVersion="8" refreshedVersion="8" minRefreshableVersion="3" recordCount="119" xr:uid="{742D10BA-510E-F346-954C-C9F0610B9F5D}">
  <cacheSource type="worksheet">
    <worksheetSource ref="E19:L138" sheet="Measurements"/>
  </cacheSource>
  <cacheFields count="8">
    <cacheField name="Species" numFmtId="0">
      <sharedItems containsBlank="1" count="15">
        <s v="incompletum"/>
        <s v="blueink"/>
        <m/>
        <s v="MS CR-4"/>
        <s v="MS CR-1"/>
        <s v="MS CR-2"/>
        <s v="MS CR-3"/>
        <s v="pruinosum"/>
        <s v="cressonii"/>
        <s v="obscurum"/>
        <s v="ruidosense"/>
        <s v="helianthi"/>
        <s v="albipenne"/>
        <s v="hyalinum"/>
        <s v="RE-CLASSIFY as incompletum" u="1"/>
      </sharedItems>
    </cacheField>
    <cacheField name="H-ocellus" numFmtId="0">
      <sharedItems containsSemiMixedTypes="0" containsString="0" containsNumber="1" minValue="42" maxValue="74"/>
    </cacheField>
    <cacheField name="H-vertex" numFmtId="0">
      <sharedItems containsString="0" containsBlank="1" containsNumber="1" containsInteger="1" minValue="54" maxValue="60"/>
    </cacheField>
    <cacheField name="W" numFmtId="0">
      <sharedItems containsSemiMixedTypes="0" containsString="0" containsNumber="1" minValue="53" maxValue="78"/>
    </cacheField>
    <cacheField name="Ratio" numFmtId="0">
      <sharedItems containsSemiMixedTypes="0" containsString="0" containsNumber="1" minValue="0.72727272727272729" maxValue="1.1384615384615384"/>
    </cacheField>
    <cacheField name="eye" numFmtId="0">
      <sharedItems containsString="0" containsBlank="1" containsNumber="1" containsInteger="1" minValue="11" maxValue="20"/>
    </cacheField>
    <cacheField name="Eye+gena" numFmtId="0">
      <sharedItems containsString="0" containsBlank="1" containsNumber="1" containsInteger="1" minValue="22" maxValue="37"/>
    </cacheField>
    <cacheField name="Gena length" numFmtId="0">
      <sharedItems containsBlank="1" containsMixedTypes="1" containsNumber="1" minValue="0.66666666666666663" maxValue="1.666666666666666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
  <r>
    <x v="0"/>
    <n v="52.5"/>
    <n v="60"/>
    <n v="66"/>
    <n v="0.79545454545454541"/>
    <n v="13"/>
    <n v="32"/>
    <n v="1.4615384615384615"/>
  </r>
  <r>
    <x v="0"/>
    <n v="52.5"/>
    <n v="60"/>
    <n v="63"/>
    <n v="0.83333333333333337"/>
    <n v="15"/>
    <n v="30"/>
    <n v="1"/>
  </r>
  <r>
    <x v="0"/>
    <n v="49.5"/>
    <n v="54"/>
    <n v="64.5"/>
    <n v="0.76744186046511631"/>
    <n v="15"/>
    <n v="32"/>
    <n v="1.1333333333333333"/>
  </r>
  <r>
    <x v="0"/>
    <n v="52.5"/>
    <n v="60"/>
    <n v="67.5"/>
    <n v="0.77777777777777779"/>
    <n v="14"/>
    <n v="32"/>
    <n v="1.2857142857142858"/>
  </r>
  <r>
    <x v="0"/>
    <n v="50"/>
    <n v="58"/>
    <n v="63"/>
    <n v="0.79365079365079361"/>
    <n v="12"/>
    <n v="28"/>
    <n v="1.3333333333333333"/>
  </r>
  <r>
    <x v="0"/>
    <n v="51"/>
    <n v="57"/>
    <n v="62"/>
    <n v="0.82258064516129037"/>
    <n v="13"/>
    <n v="30"/>
    <n v="1.3076923076923077"/>
  </r>
  <r>
    <x v="0"/>
    <n v="50"/>
    <n v="56"/>
    <n v="60"/>
    <n v="0.83333333333333337"/>
    <m/>
    <m/>
    <s v="incom mean"/>
  </r>
  <r>
    <x v="0"/>
    <n v="53"/>
    <n v="59"/>
    <n v="69"/>
    <n v="0.76811594202898548"/>
    <m/>
    <m/>
    <s v="incom SD"/>
  </r>
  <r>
    <x v="0"/>
    <n v="57"/>
    <n v="60"/>
    <n v="65"/>
    <n v="0.87692307692307692"/>
    <m/>
    <m/>
    <m/>
  </r>
  <r>
    <x v="0"/>
    <n v="50"/>
    <n v="58"/>
    <n v="64"/>
    <n v="0.78125"/>
    <m/>
    <m/>
    <m/>
  </r>
  <r>
    <x v="0"/>
    <n v="50"/>
    <n v="57"/>
    <n v="63"/>
    <n v="0.79365079365079361"/>
    <m/>
    <m/>
    <m/>
  </r>
  <r>
    <x v="0"/>
    <n v="52"/>
    <n v="59"/>
    <n v="64"/>
    <n v="0.8125"/>
    <m/>
    <m/>
    <m/>
  </r>
  <r>
    <x v="0"/>
    <n v="50"/>
    <n v="55"/>
    <n v="66"/>
    <n v="0.75757575757575757"/>
    <m/>
    <m/>
    <m/>
  </r>
  <r>
    <x v="0"/>
    <n v="54"/>
    <n v="60"/>
    <n v="65"/>
    <n v="0.83076923076923082"/>
    <m/>
    <m/>
    <m/>
  </r>
  <r>
    <x v="0"/>
    <n v="51"/>
    <n v="55"/>
    <n v="65"/>
    <n v="0.7846153846153846"/>
    <m/>
    <m/>
    <m/>
  </r>
  <r>
    <x v="0"/>
    <n v="51"/>
    <n v="60"/>
    <n v="65"/>
    <n v="0.7846153846153846"/>
    <m/>
    <m/>
    <m/>
  </r>
  <r>
    <x v="0"/>
    <n v="50"/>
    <n v="57"/>
    <n v="63"/>
    <n v="0.79365079365079361"/>
    <m/>
    <m/>
    <m/>
  </r>
  <r>
    <x v="0"/>
    <n v="51"/>
    <n v="57"/>
    <n v="64"/>
    <n v="0.796875"/>
    <m/>
    <m/>
    <m/>
  </r>
  <r>
    <x v="0"/>
    <n v="49"/>
    <n v="56"/>
    <n v="60"/>
    <n v="0.81666666666666665"/>
    <m/>
    <m/>
    <m/>
  </r>
  <r>
    <x v="0"/>
    <n v="49"/>
    <n v="56"/>
    <n v="60"/>
    <n v="0.81666666666666665"/>
    <m/>
    <m/>
    <m/>
  </r>
  <r>
    <x v="0"/>
    <n v="49"/>
    <m/>
    <n v="61"/>
    <n v="0.80327868852459017"/>
    <m/>
    <m/>
    <m/>
  </r>
  <r>
    <x v="0"/>
    <n v="52"/>
    <m/>
    <n v="61"/>
    <n v="0.85245901639344257"/>
    <m/>
    <m/>
    <m/>
  </r>
  <r>
    <x v="0"/>
    <n v="51"/>
    <m/>
    <n v="58"/>
    <n v="0.87931034482758619"/>
    <m/>
    <m/>
    <m/>
  </r>
  <r>
    <x v="0"/>
    <n v="50"/>
    <m/>
    <n v="62"/>
    <n v="0.80645161290322576"/>
    <m/>
    <m/>
    <m/>
  </r>
  <r>
    <x v="0"/>
    <n v="50"/>
    <m/>
    <n v="65"/>
    <n v="0.76923076923076927"/>
    <m/>
    <m/>
    <m/>
  </r>
  <r>
    <x v="0"/>
    <n v="52"/>
    <m/>
    <n v="64"/>
    <n v="0.8125"/>
    <m/>
    <m/>
    <m/>
  </r>
  <r>
    <x v="0"/>
    <n v="53"/>
    <m/>
    <n v="64"/>
    <n v="0.828125"/>
    <m/>
    <m/>
    <m/>
  </r>
  <r>
    <x v="0"/>
    <n v="53"/>
    <m/>
    <n v="65"/>
    <n v="0.81538461538461537"/>
    <m/>
    <m/>
    <m/>
  </r>
  <r>
    <x v="0"/>
    <n v="49"/>
    <m/>
    <n v="57"/>
    <n v="0.85964912280701755"/>
    <m/>
    <m/>
    <m/>
  </r>
  <r>
    <x v="0"/>
    <n v="50"/>
    <m/>
    <n v="63"/>
    <n v="0.79365079365079361"/>
    <m/>
    <m/>
    <m/>
  </r>
  <r>
    <x v="0"/>
    <n v="55"/>
    <m/>
    <n v="60"/>
    <n v="0.91666666666666663"/>
    <m/>
    <m/>
    <m/>
  </r>
  <r>
    <x v="0"/>
    <n v="55"/>
    <m/>
    <n v="62"/>
    <n v="0.88709677419354838"/>
    <m/>
    <m/>
    <m/>
  </r>
  <r>
    <x v="0"/>
    <n v="48"/>
    <m/>
    <n v="55"/>
    <n v="0.87272727272727268"/>
    <m/>
    <m/>
    <m/>
  </r>
  <r>
    <x v="0"/>
    <n v="50"/>
    <m/>
    <n v="62"/>
    <n v="0.80645161290322576"/>
    <m/>
    <m/>
    <m/>
  </r>
  <r>
    <x v="0"/>
    <n v="49"/>
    <m/>
    <n v="54"/>
    <n v="0.90740740740740744"/>
    <m/>
    <m/>
    <m/>
  </r>
  <r>
    <x v="0"/>
    <n v="59"/>
    <m/>
    <n v="60"/>
    <n v="0.98333333333333328"/>
    <m/>
    <m/>
    <m/>
  </r>
  <r>
    <x v="1"/>
    <n v="56"/>
    <m/>
    <n v="73"/>
    <n v="0.76712328767123283"/>
    <n v="17"/>
    <n v="34"/>
    <n v="1"/>
  </r>
  <r>
    <x v="1"/>
    <n v="51"/>
    <m/>
    <n v="70"/>
    <n v="0.72857142857142854"/>
    <n v="18"/>
    <n v="32"/>
    <n v="0.77777777777777779"/>
  </r>
  <r>
    <x v="1"/>
    <n v="54"/>
    <m/>
    <n v="69"/>
    <n v="0.78260869565217395"/>
    <n v="19"/>
    <n v="35"/>
    <n v="0.84210526315789469"/>
  </r>
  <r>
    <x v="1"/>
    <n v="52"/>
    <m/>
    <n v="68"/>
    <n v="0.76470588235294112"/>
    <n v="15"/>
    <n v="32"/>
    <n v="1.1333333333333333"/>
  </r>
  <r>
    <x v="1"/>
    <n v="55"/>
    <m/>
    <n v="71"/>
    <n v="0.77464788732394363"/>
    <n v="18"/>
    <n v="30"/>
    <n v="0.66666666666666663"/>
  </r>
  <r>
    <x v="1"/>
    <n v="55"/>
    <m/>
    <n v="69"/>
    <n v="0.79710144927536231"/>
    <n v="15"/>
    <n v="30"/>
    <n v="1"/>
  </r>
  <r>
    <x v="1"/>
    <n v="54"/>
    <m/>
    <n v="72"/>
    <n v="0.75"/>
    <m/>
    <m/>
    <m/>
  </r>
  <r>
    <x v="1"/>
    <n v="54"/>
    <m/>
    <n v="70"/>
    <n v="0.77142857142857146"/>
    <m/>
    <m/>
    <m/>
  </r>
  <r>
    <x v="1"/>
    <n v="54"/>
    <m/>
    <n v="72"/>
    <n v="0.75"/>
    <m/>
    <m/>
    <m/>
  </r>
  <r>
    <x v="1"/>
    <n v="53"/>
    <m/>
    <n v="70"/>
    <n v="0.75714285714285712"/>
    <m/>
    <m/>
    <m/>
  </r>
  <r>
    <x v="1"/>
    <n v="54"/>
    <m/>
    <n v="70"/>
    <n v="0.77142857142857146"/>
    <m/>
    <m/>
    <m/>
  </r>
  <r>
    <x v="1"/>
    <n v="55"/>
    <m/>
    <n v="72"/>
    <n v="0.76388888888888884"/>
    <m/>
    <m/>
    <m/>
  </r>
  <r>
    <x v="1"/>
    <n v="56"/>
    <m/>
    <n v="74"/>
    <n v="0.7567567567567568"/>
    <m/>
    <m/>
    <m/>
  </r>
  <r>
    <x v="1"/>
    <n v="57"/>
    <m/>
    <n v="76"/>
    <n v="0.75"/>
    <m/>
    <m/>
    <m/>
  </r>
  <r>
    <x v="1"/>
    <n v="53"/>
    <m/>
    <n v="70"/>
    <n v="0.75714285714285712"/>
    <m/>
    <m/>
    <m/>
  </r>
  <r>
    <x v="1"/>
    <n v="58"/>
    <m/>
    <n v="74"/>
    <n v="0.78378378378378377"/>
    <m/>
    <m/>
    <m/>
  </r>
  <r>
    <x v="1"/>
    <n v="58"/>
    <m/>
    <n v="75"/>
    <n v="0.77333333333333332"/>
    <m/>
    <m/>
    <m/>
  </r>
  <r>
    <x v="1"/>
    <n v="55"/>
    <m/>
    <n v="71"/>
    <n v="0.77464788732394363"/>
    <m/>
    <m/>
    <m/>
  </r>
  <r>
    <x v="1"/>
    <n v="56"/>
    <m/>
    <n v="71"/>
    <n v="0.78873239436619713"/>
    <m/>
    <m/>
    <m/>
  </r>
  <r>
    <x v="1"/>
    <n v="57"/>
    <m/>
    <n v="77"/>
    <n v="0.74025974025974028"/>
    <m/>
    <m/>
    <m/>
  </r>
  <r>
    <x v="1"/>
    <n v="58"/>
    <m/>
    <n v="76"/>
    <n v="0.76315789473684215"/>
    <m/>
    <m/>
    <m/>
  </r>
  <r>
    <x v="1"/>
    <n v="56"/>
    <m/>
    <n v="76"/>
    <n v="0.73684210526315785"/>
    <m/>
    <m/>
    <m/>
  </r>
  <r>
    <x v="1"/>
    <n v="53"/>
    <m/>
    <n v="72"/>
    <n v="0.73611111111111116"/>
    <m/>
    <m/>
    <m/>
  </r>
  <r>
    <x v="1"/>
    <n v="55"/>
    <m/>
    <n v="70"/>
    <n v="0.7857142857142857"/>
    <m/>
    <m/>
    <m/>
  </r>
  <r>
    <x v="1"/>
    <n v="55"/>
    <m/>
    <n v="73"/>
    <n v="0.75342465753424659"/>
    <m/>
    <m/>
    <m/>
  </r>
  <r>
    <x v="1"/>
    <n v="53"/>
    <m/>
    <n v="70"/>
    <n v="0.75714285714285712"/>
    <m/>
    <m/>
    <m/>
  </r>
  <r>
    <x v="2"/>
    <n v="59"/>
    <m/>
    <n v="72"/>
    <n v="0.81944444444444442"/>
    <m/>
    <m/>
    <m/>
  </r>
  <r>
    <x v="3"/>
    <n v="48"/>
    <m/>
    <n v="60"/>
    <n v="0.8"/>
    <n v="14"/>
    <n v="25"/>
    <n v="0.7857142857142857"/>
  </r>
  <r>
    <x v="3"/>
    <n v="48"/>
    <m/>
    <n v="59"/>
    <n v="0.81355932203389836"/>
    <n v="15"/>
    <n v="28"/>
    <n v="0.8666666666666667"/>
  </r>
  <r>
    <x v="3"/>
    <n v="50"/>
    <m/>
    <n v="60"/>
    <n v="0.83333333333333337"/>
    <n v="15"/>
    <n v="28"/>
    <n v="0.8666666666666667"/>
  </r>
  <r>
    <x v="3"/>
    <n v="48"/>
    <m/>
    <n v="60"/>
    <n v="0.8"/>
    <n v="13"/>
    <n v="27"/>
    <n v="1.0769230769230769"/>
  </r>
  <r>
    <x v="3"/>
    <n v="49"/>
    <m/>
    <n v="60"/>
    <n v="0.81666666666666665"/>
    <n v="15"/>
    <n v="25"/>
    <n v="0.66666666666666663"/>
  </r>
  <r>
    <x v="3"/>
    <n v="49"/>
    <m/>
    <n v="60"/>
    <n v="0.81666666666666665"/>
    <m/>
    <m/>
    <m/>
  </r>
  <r>
    <x v="4"/>
    <n v="56"/>
    <m/>
    <n v="77"/>
    <n v="0.72727272727272729"/>
    <n v="18"/>
    <n v="37"/>
    <n v="1.0555555555555556"/>
  </r>
  <r>
    <x v="5"/>
    <n v="59"/>
    <m/>
    <n v="60"/>
    <n v="0.98333333333333328"/>
    <n v="15"/>
    <n v="28"/>
    <n v="0.8666666666666667"/>
  </r>
  <r>
    <x v="6"/>
    <n v="55"/>
    <m/>
    <n v="54"/>
    <n v="1.0185185185185186"/>
    <n v="12"/>
    <n v="25"/>
    <n v="1.0833333333333333"/>
  </r>
  <r>
    <x v="7"/>
    <n v="64"/>
    <m/>
    <n v="71"/>
    <n v="0.90140845070422537"/>
    <n v="13"/>
    <n v="28"/>
    <n v="1.1538461538461537"/>
  </r>
  <r>
    <x v="7"/>
    <n v="68"/>
    <m/>
    <n v="73"/>
    <n v="0.93150684931506844"/>
    <n v="18"/>
    <n v="35"/>
    <n v="0.94444444444444442"/>
  </r>
  <r>
    <x v="7"/>
    <n v="61"/>
    <m/>
    <n v="65"/>
    <n v="0.93846153846153846"/>
    <n v="16"/>
    <n v="30"/>
    <n v="0.875"/>
  </r>
  <r>
    <x v="7"/>
    <n v="74"/>
    <m/>
    <n v="65"/>
    <n v="1.1384615384615384"/>
    <n v="19"/>
    <n v="35"/>
    <n v="0.84210526315789469"/>
  </r>
  <r>
    <x v="7"/>
    <n v="65"/>
    <m/>
    <n v="60"/>
    <n v="1.0833333333333333"/>
    <n v="12"/>
    <n v="30"/>
    <n v="1.5"/>
  </r>
  <r>
    <x v="7"/>
    <n v="72"/>
    <m/>
    <n v="65"/>
    <n v="1.1076923076923078"/>
    <n v="19"/>
    <n v="36"/>
    <n v="0.89473684210526316"/>
  </r>
  <r>
    <x v="8"/>
    <n v="45"/>
    <m/>
    <n v="58"/>
    <n v="0.77586206896551724"/>
    <n v="12"/>
    <n v="25"/>
    <n v="1.0833333333333333"/>
  </r>
  <r>
    <x v="8"/>
    <n v="43"/>
    <m/>
    <n v="55"/>
    <n v="0.78181818181818186"/>
    <n v="12"/>
    <n v="24"/>
    <n v="1"/>
  </r>
  <r>
    <x v="8"/>
    <n v="45"/>
    <m/>
    <n v="55"/>
    <n v="0.81818181818181823"/>
    <n v="11"/>
    <n v="23"/>
    <n v="1.0909090909090908"/>
  </r>
  <r>
    <x v="8"/>
    <n v="42"/>
    <m/>
    <n v="56"/>
    <n v="0.75"/>
    <n v="13"/>
    <n v="25"/>
    <n v="0.92307692307692313"/>
  </r>
  <r>
    <x v="8"/>
    <n v="44"/>
    <m/>
    <n v="57"/>
    <n v="0.77192982456140347"/>
    <n v="12"/>
    <n v="24"/>
    <n v="1"/>
  </r>
  <r>
    <x v="8"/>
    <n v="45"/>
    <m/>
    <n v="58"/>
    <n v="0.77586206896551724"/>
    <n v="12"/>
    <n v="24"/>
    <n v="1"/>
  </r>
  <r>
    <x v="8"/>
    <n v="44"/>
    <m/>
    <n v="53"/>
    <n v="0.83018867924528306"/>
    <n v="13"/>
    <n v="22"/>
    <n v="0.69230769230769229"/>
  </r>
  <r>
    <x v="8"/>
    <n v="44"/>
    <m/>
    <n v="56"/>
    <n v="0.7857142857142857"/>
    <n v="13"/>
    <n v="25"/>
    <n v="0.92307692307692313"/>
  </r>
  <r>
    <x v="8"/>
    <n v="42"/>
    <m/>
    <n v="54"/>
    <n v="0.77777777777777779"/>
    <n v="12"/>
    <n v="26"/>
    <n v="1.1666666666666667"/>
  </r>
  <r>
    <x v="8"/>
    <n v="45"/>
    <m/>
    <n v="56"/>
    <n v="0.8035714285714286"/>
    <n v="13"/>
    <n v="23"/>
    <n v="0.76923076923076927"/>
  </r>
  <r>
    <x v="8"/>
    <n v="44"/>
    <m/>
    <n v="55"/>
    <n v="0.8"/>
    <m/>
    <m/>
    <m/>
  </r>
  <r>
    <x v="9"/>
    <n v="55"/>
    <m/>
    <n v="70"/>
    <n v="0.7857142857142857"/>
    <n v="17"/>
    <n v="35"/>
    <n v="1.0588235294117647"/>
  </r>
  <r>
    <x v="9"/>
    <n v="55"/>
    <m/>
    <n v="73"/>
    <n v="0.75342465753424659"/>
    <n v="16"/>
    <n v="35"/>
    <n v="1.1875"/>
  </r>
  <r>
    <x v="9"/>
    <n v="52"/>
    <m/>
    <n v="68"/>
    <n v="0.76470588235294112"/>
    <n v="13"/>
    <n v="31"/>
    <n v="1.3846153846153846"/>
  </r>
  <r>
    <x v="9"/>
    <n v="53"/>
    <m/>
    <n v="69"/>
    <n v="0.76811594202898548"/>
    <n v="13"/>
    <n v="29"/>
    <n v="1.2307692307692308"/>
  </r>
  <r>
    <x v="9"/>
    <n v="52"/>
    <m/>
    <n v="68"/>
    <n v="0.76470588235294112"/>
    <n v="12"/>
    <n v="32"/>
    <n v="1.6666666666666667"/>
  </r>
  <r>
    <x v="9"/>
    <n v="49"/>
    <m/>
    <n v="63"/>
    <n v="0.77777777777777779"/>
    <n v="15"/>
    <n v="31"/>
    <n v="1.0666666666666667"/>
  </r>
  <r>
    <x v="9"/>
    <n v="50"/>
    <m/>
    <n v="65"/>
    <n v="0.76923076923076927"/>
    <n v="15"/>
    <n v="31"/>
    <n v="1.0666666666666667"/>
  </r>
  <r>
    <x v="9"/>
    <n v="50"/>
    <m/>
    <n v="63"/>
    <n v="0.79365079365079361"/>
    <n v="14"/>
    <n v="32"/>
    <n v="1.2857142857142858"/>
  </r>
  <r>
    <x v="9"/>
    <n v="54"/>
    <m/>
    <n v="71"/>
    <n v="0.76056338028169013"/>
    <n v="12"/>
    <n v="27"/>
    <n v="1.25"/>
  </r>
  <r>
    <x v="9"/>
    <n v="52"/>
    <m/>
    <n v="65"/>
    <n v="0.8"/>
    <m/>
    <m/>
    <m/>
  </r>
  <r>
    <x v="10"/>
    <n v="57"/>
    <m/>
    <n v="70"/>
    <n v="0.81428571428571428"/>
    <n v="12"/>
    <n v="31"/>
    <n v="1.5833333333333333"/>
  </r>
  <r>
    <x v="10"/>
    <n v="53"/>
    <m/>
    <n v="69"/>
    <n v="0.76811594202898548"/>
    <n v="14"/>
    <n v="30"/>
    <n v="1.1428571428571428"/>
  </r>
  <r>
    <x v="10"/>
    <n v="59"/>
    <m/>
    <n v="69"/>
    <n v="0.85507246376811596"/>
    <n v="14"/>
    <n v="32"/>
    <n v="1.2857142857142858"/>
  </r>
  <r>
    <x v="10"/>
    <n v="57"/>
    <m/>
    <n v="70"/>
    <n v="0.81428571428571428"/>
    <n v="15"/>
    <n v="32"/>
    <n v="1.1333333333333333"/>
  </r>
  <r>
    <x v="10"/>
    <n v="60"/>
    <m/>
    <n v="71"/>
    <n v="0.84507042253521125"/>
    <n v="15"/>
    <n v="34"/>
    <n v="1.2666666666666666"/>
  </r>
  <r>
    <x v="10"/>
    <n v="59"/>
    <m/>
    <n v="70"/>
    <n v="0.84285714285714286"/>
    <n v="15"/>
    <n v="30"/>
    <n v="1"/>
  </r>
  <r>
    <x v="10"/>
    <n v="55"/>
    <m/>
    <n v="68"/>
    <n v="0.80882352941176472"/>
    <n v="13"/>
    <n v="29"/>
    <n v="1.2307692307692308"/>
  </r>
  <r>
    <x v="10"/>
    <n v="58"/>
    <m/>
    <n v="70"/>
    <n v="0.82857142857142863"/>
    <n v="14"/>
    <n v="32"/>
    <n v="1.2857142857142858"/>
  </r>
  <r>
    <x v="10"/>
    <n v="56"/>
    <m/>
    <n v="71"/>
    <n v="0.78873239436619713"/>
    <n v="15"/>
    <n v="32"/>
    <n v="1.1333333333333333"/>
  </r>
  <r>
    <x v="10"/>
    <n v="52"/>
    <m/>
    <n v="68"/>
    <n v="0.76470588235294112"/>
    <n v="16"/>
    <n v="32"/>
    <n v="1"/>
  </r>
  <r>
    <x v="11"/>
    <n v="46"/>
    <m/>
    <n v="58"/>
    <n v="0.7931034482758621"/>
    <n v="15"/>
    <n v="27"/>
    <n v="0.8"/>
  </r>
  <r>
    <x v="11"/>
    <n v="48"/>
    <m/>
    <n v="61"/>
    <n v="0.78688524590163933"/>
    <n v="16"/>
    <n v="27"/>
    <n v="0.6875"/>
  </r>
  <r>
    <x v="11"/>
    <n v="48"/>
    <m/>
    <n v="59"/>
    <n v="0.81355932203389836"/>
    <n v="14"/>
    <n v="29"/>
    <n v="1.0714285714285714"/>
  </r>
  <r>
    <x v="12"/>
    <n v="62"/>
    <m/>
    <n v="78"/>
    <n v="0.79487179487179482"/>
    <n v="20"/>
    <n v="37"/>
    <n v="0.85"/>
  </r>
  <r>
    <x v="12"/>
    <n v="60"/>
    <m/>
    <n v="69"/>
    <n v="0.86956521739130432"/>
    <n v="17"/>
    <n v="35"/>
    <n v="1.0588235294117647"/>
  </r>
  <r>
    <x v="12"/>
    <n v="60"/>
    <m/>
    <n v="71"/>
    <n v="0.84507042253521125"/>
    <n v="15"/>
    <n v="35"/>
    <n v="1.3333333333333333"/>
  </r>
  <r>
    <x v="12"/>
    <n v="62"/>
    <m/>
    <n v="78"/>
    <n v="0.79487179487179482"/>
    <n v="18"/>
    <n v="34"/>
    <n v="0.88888888888888884"/>
  </r>
  <r>
    <x v="12"/>
    <n v="59"/>
    <m/>
    <n v="70"/>
    <n v="0.84285714285714286"/>
    <n v="17"/>
    <n v="31"/>
    <n v="0.82352941176470584"/>
  </r>
  <r>
    <x v="13"/>
    <n v="52"/>
    <m/>
    <n v="60"/>
    <n v="0.8666666666666667"/>
    <n v="14"/>
    <n v="30"/>
    <n v="1.1428571428571428"/>
  </r>
  <r>
    <x v="13"/>
    <n v="50"/>
    <m/>
    <n v="68"/>
    <n v="0.73529411764705888"/>
    <n v="17"/>
    <n v="30"/>
    <n v="0.764705882352941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9914D0-702D-284C-8AE3-B3EE55E5EEC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71:T86" firstHeaderRow="0" firstDataRow="1" firstDataCol="1"/>
  <pivotFields count="8">
    <pivotField axis="axisRow" showAll="0">
      <items count="16">
        <item x="12"/>
        <item x="1"/>
        <item x="8"/>
        <item x="11"/>
        <item x="13"/>
        <item x="0"/>
        <item x="4"/>
        <item x="5"/>
        <item x="6"/>
        <item x="3"/>
        <item x="9"/>
        <item x="7"/>
        <item m="1" x="14"/>
        <item x="10"/>
        <item x="2"/>
        <item t="default"/>
      </items>
    </pivotField>
    <pivotField showAll="0"/>
    <pivotField showAll="0"/>
    <pivotField showAll="0"/>
    <pivotField dataField="1" showAll="0"/>
    <pivotField showAll="0"/>
    <pivotField showAll="0"/>
    <pivotField dataField="1" showAll="0"/>
  </pivotFields>
  <rowFields count="1">
    <field x="0"/>
  </rowFields>
  <rowItems count="15">
    <i>
      <x/>
    </i>
    <i>
      <x v="1"/>
    </i>
    <i>
      <x v="2"/>
    </i>
    <i>
      <x v="3"/>
    </i>
    <i>
      <x v="4"/>
    </i>
    <i>
      <x v="5"/>
    </i>
    <i>
      <x v="6"/>
    </i>
    <i>
      <x v="7"/>
    </i>
    <i>
      <x v="8"/>
    </i>
    <i>
      <x v="9"/>
    </i>
    <i>
      <x v="10"/>
    </i>
    <i>
      <x v="11"/>
    </i>
    <i>
      <x v="13"/>
    </i>
    <i>
      <x v="14"/>
    </i>
    <i t="grand">
      <x/>
    </i>
  </rowItems>
  <colFields count="1">
    <field x="-2"/>
  </colFields>
  <colItems count="6">
    <i>
      <x/>
    </i>
    <i i="1">
      <x v="1"/>
    </i>
    <i i="2">
      <x v="2"/>
    </i>
    <i i="3">
      <x v="3"/>
    </i>
    <i i="4">
      <x v="4"/>
    </i>
    <i i="5">
      <x v="5"/>
    </i>
  </colItems>
  <dataFields count="6">
    <dataField name="Count of Ratio" fld="4" subtotal="count" baseField="0" baseItem="0"/>
    <dataField name="Average of Ratio" fld="4" subtotal="average" baseField="0" baseItem="0"/>
    <dataField name="StdDev of Ratio" fld="4" subtotal="stdDev" baseField="0" baseItem="0"/>
    <dataField name="Average of Gena length" fld="7" subtotal="average" baseField="0" baseItem="0"/>
    <dataField name="Count of Gena length" fld="7" subtotal="count" baseField="0" baseItem="0"/>
    <dataField name="StdDev of Gena length2" fld="7" subtotal="stdDev"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9DFD14-5844-4747-B948-00FC66974D55}" name="Table2" displayName="Table2" ref="N92:V106" totalsRowShown="0">
  <autoFilter ref="N92:V106" xr:uid="{059DFD14-5844-4747-B948-00FC66974D55}"/>
  <tableColumns count="9">
    <tableColumn id="1" xr3:uid="{6659E006-40B6-0143-BC43-A3F33E779A59}" name="Column1"/>
    <tableColumn id="2" xr3:uid="{434DB15D-C98C-DD4F-A391-192D5B561751}" name="Head dimensions"/>
    <tableColumn id="3" xr3:uid="{41E7411B-F378-6A4A-85D4-59DD2B9DD8E6}" name="Column2" dataDxfId="5"/>
    <tableColumn id="4" xr3:uid="{536704A8-754F-CB44-9906-0ED9416FD201}" name="Column3" dataDxfId="4"/>
    <tableColumn id="5" xr3:uid="{EDEB84AC-A046-7143-86FA-2614AA564E0D}" name="Column4" dataDxfId="3"/>
    <tableColumn id="6" xr3:uid="{33E38D8E-54DB-6846-A492-5D2C71E03118}" name="Gena dimensions" dataDxfId="2"/>
    <tableColumn id="7" xr3:uid="{C18850B2-02DF-A143-A437-D3CD826799F4}" name="Column5" dataDxfId="1"/>
    <tableColumn id="8" xr3:uid="{7F97D9BB-4B2F-DC4D-A472-997643704388}" name="Column6" dataDxfId="0"/>
    <tableColumn id="9" xr3:uid="{EB0D07E4-8D68-1942-B4AA-DF8E62D4B779}" name="Column7"/>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hyperlink" Target="https://youtu.be/6E7Z9xewNn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D33"/>
  <sheetViews>
    <sheetView zoomScale="117" zoomScaleNormal="85" workbookViewId="0">
      <pane ySplit="1" topLeftCell="A2" activePane="bottomLeft" state="frozen"/>
      <selection activeCell="I17" sqref="I17"/>
      <selection pane="bottomLeft" activeCell="B1" sqref="B1:AD25"/>
    </sheetView>
  </sheetViews>
  <sheetFormatPr baseColWidth="10" defaultColWidth="8.83203125" defaultRowHeight="15" x14ac:dyDescent="0.2"/>
  <cols>
    <col min="2" max="2" width="20.33203125" customWidth="1"/>
    <col min="3" max="4" width="12.5" customWidth="1"/>
    <col min="5" max="6" width="12.5" style="30" customWidth="1"/>
    <col min="7" max="10" width="13.6640625" customWidth="1"/>
    <col min="11" max="11" width="8.1640625" customWidth="1"/>
    <col min="12" max="12" width="7.5" style="30" customWidth="1"/>
    <col min="13" max="13" width="7.5" customWidth="1"/>
    <col min="17" max="17" width="8.33203125" customWidth="1"/>
    <col min="18" max="18" width="8" style="30" customWidth="1"/>
    <col min="19" max="20" width="8.6640625" customWidth="1"/>
    <col min="21" max="22" width="8.6640625" style="30" customWidth="1"/>
    <col min="23" max="23" width="10.33203125" customWidth="1"/>
    <col min="27" max="27" width="33.33203125" customWidth="1"/>
    <col min="30" max="30" width="22.83203125" customWidth="1"/>
  </cols>
  <sheetData>
    <row r="1" spans="1:30" s="1" customFormat="1" x14ac:dyDescent="0.2">
      <c r="B1" t="s">
        <v>9</v>
      </c>
      <c r="C1" t="s">
        <v>428</v>
      </c>
      <c r="D1" t="s">
        <v>523</v>
      </c>
      <c r="E1" s="30" t="s">
        <v>582</v>
      </c>
      <c r="F1" s="30" t="s">
        <v>588</v>
      </c>
      <c r="G1" t="s">
        <v>68</v>
      </c>
      <c r="H1" t="s">
        <v>67</v>
      </c>
      <c r="I1" t="s">
        <v>337</v>
      </c>
      <c r="J1" t="s">
        <v>338</v>
      </c>
      <c r="K1" t="s">
        <v>57</v>
      </c>
      <c r="L1" s="30" t="s">
        <v>105</v>
      </c>
      <c r="M1" t="s">
        <v>327</v>
      </c>
      <c r="N1" t="s">
        <v>104</v>
      </c>
      <c r="O1" t="s">
        <v>232</v>
      </c>
      <c r="P1" t="s">
        <v>69</v>
      </c>
      <c r="Q1" t="s">
        <v>70</v>
      </c>
      <c r="R1" s="30" t="s">
        <v>244</v>
      </c>
      <c r="S1" t="s">
        <v>397</v>
      </c>
      <c r="T1" t="s">
        <v>396</v>
      </c>
      <c r="U1" s="30" t="s">
        <v>591</v>
      </c>
      <c r="V1" s="30" t="s">
        <v>667</v>
      </c>
      <c r="W1" t="s">
        <v>316</v>
      </c>
      <c r="X1" t="s">
        <v>237</v>
      </c>
      <c r="Y1" t="s">
        <v>71</v>
      </c>
      <c r="Z1" t="s">
        <v>257</v>
      </c>
      <c r="AA1" t="s">
        <v>72</v>
      </c>
      <c r="AB1" t="s">
        <v>73</v>
      </c>
      <c r="AC1" t="s">
        <v>74</v>
      </c>
      <c r="AD1" t="s">
        <v>117</v>
      </c>
    </row>
    <row r="2" spans="1:30" ht="18" x14ac:dyDescent="0.2">
      <c r="A2" t="s">
        <v>653</v>
      </c>
      <c r="B2" s="11" t="s">
        <v>291</v>
      </c>
      <c r="C2" s="11" t="s">
        <v>254</v>
      </c>
      <c r="D2" s="11" t="s">
        <v>522</v>
      </c>
      <c r="E2" s="29"/>
      <c r="F2" s="29">
        <v>0.81</v>
      </c>
      <c r="G2" t="s">
        <v>93</v>
      </c>
      <c r="H2" t="s">
        <v>126</v>
      </c>
      <c r="I2">
        <v>2</v>
      </c>
      <c r="J2" t="s">
        <v>250</v>
      </c>
      <c r="K2" s="37" t="s">
        <v>313</v>
      </c>
      <c r="L2" s="30" t="s">
        <v>285</v>
      </c>
      <c r="M2" t="s">
        <v>328</v>
      </c>
      <c r="N2" t="s">
        <v>404</v>
      </c>
      <c r="O2" t="s">
        <v>250</v>
      </c>
      <c r="P2" s="34" t="s">
        <v>96</v>
      </c>
      <c r="Q2" t="s">
        <v>367</v>
      </c>
      <c r="R2" s="30" t="s">
        <v>59</v>
      </c>
      <c r="S2" t="s">
        <v>59</v>
      </c>
      <c r="T2" t="s">
        <v>424</v>
      </c>
      <c r="U2" s="30" t="s">
        <v>59</v>
      </c>
      <c r="V2" s="30" t="s">
        <v>250</v>
      </c>
      <c r="W2" t="s">
        <v>59</v>
      </c>
      <c r="X2" t="s">
        <v>236</v>
      </c>
      <c r="Y2" t="s">
        <v>416</v>
      </c>
      <c r="Z2" t="s">
        <v>59</v>
      </c>
      <c r="AA2" s="37" t="s">
        <v>97</v>
      </c>
      <c r="AB2" s="35" t="s">
        <v>61</v>
      </c>
      <c r="AC2" t="s">
        <v>61</v>
      </c>
      <c r="AD2" s="34" t="s">
        <v>258</v>
      </c>
    </row>
    <row r="3" spans="1:30" ht="18" x14ac:dyDescent="0.2">
      <c r="A3" t="s">
        <v>653</v>
      </c>
      <c r="B3" s="11" t="s">
        <v>207</v>
      </c>
      <c r="C3" s="11" t="s">
        <v>254</v>
      </c>
      <c r="D3" s="11" t="s">
        <v>522</v>
      </c>
      <c r="E3" s="29">
        <v>7</v>
      </c>
      <c r="F3" s="29">
        <v>0.82</v>
      </c>
      <c r="G3" t="s">
        <v>93</v>
      </c>
      <c r="H3" t="s">
        <v>124</v>
      </c>
      <c r="I3">
        <v>1</v>
      </c>
      <c r="J3" t="s">
        <v>250</v>
      </c>
      <c r="K3" s="37" t="s">
        <v>313</v>
      </c>
      <c r="L3" s="30" t="s">
        <v>654</v>
      </c>
      <c r="M3" t="s">
        <v>328</v>
      </c>
      <c r="N3" t="s">
        <v>498</v>
      </c>
      <c r="O3" t="s">
        <v>250</v>
      </c>
      <c r="P3" s="34" t="s">
        <v>96</v>
      </c>
      <c r="Q3" t="s">
        <v>56</v>
      </c>
      <c r="R3" s="30" t="s">
        <v>59</v>
      </c>
      <c r="S3" t="s">
        <v>59</v>
      </c>
      <c r="T3" t="s">
        <v>401</v>
      </c>
      <c r="U3" s="30" t="s">
        <v>242</v>
      </c>
      <c r="V3" s="30" t="s">
        <v>250</v>
      </c>
      <c r="W3" t="s">
        <v>59</v>
      </c>
      <c r="X3" t="s">
        <v>236</v>
      </c>
      <c r="Y3" t="s">
        <v>419</v>
      </c>
      <c r="Z3" t="s">
        <v>59</v>
      </c>
      <c r="AA3" s="37" t="s">
        <v>98</v>
      </c>
      <c r="AB3" s="34" t="s">
        <v>60</v>
      </c>
      <c r="AC3" s="34" t="s">
        <v>60</v>
      </c>
      <c r="AD3" s="34" t="s">
        <v>258</v>
      </c>
    </row>
    <row r="4" spans="1:30" ht="18" x14ac:dyDescent="0.2">
      <c r="A4" t="s">
        <v>653</v>
      </c>
      <c r="B4" s="29" t="s">
        <v>464</v>
      </c>
      <c r="C4" s="11" t="s">
        <v>254</v>
      </c>
      <c r="D4" s="11" t="s">
        <v>522</v>
      </c>
      <c r="E4" s="29">
        <v>6</v>
      </c>
      <c r="F4" s="29">
        <v>0.78</v>
      </c>
      <c r="G4" s="11" t="s">
        <v>93</v>
      </c>
      <c r="H4" s="11" t="s">
        <v>123</v>
      </c>
      <c r="I4" s="11">
        <v>2</v>
      </c>
      <c r="J4" s="11" t="s">
        <v>62</v>
      </c>
      <c r="K4" s="37" t="s">
        <v>313</v>
      </c>
      <c r="L4" s="29"/>
      <c r="M4" t="s">
        <v>328</v>
      </c>
      <c r="N4" s="11" t="s">
        <v>404</v>
      </c>
      <c r="O4" t="s">
        <v>62</v>
      </c>
      <c r="P4" s="34" t="s">
        <v>96</v>
      </c>
      <c r="Q4" s="11" t="s">
        <v>256</v>
      </c>
      <c r="R4" s="29" t="s">
        <v>59</v>
      </c>
      <c r="S4" s="11" t="s">
        <v>59</v>
      </c>
      <c r="T4" s="11" t="s">
        <v>424</v>
      </c>
      <c r="U4" s="29" t="s">
        <v>59</v>
      </c>
      <c r="V4" s="29" t="s">
        <v>62</v>
      </c>
      <c r="W4" t="s">
        <v>59</v>
      </c>
      <c r="X4" s="11" t="s">
        <v>236</v>
      </c>
      <c r="Y4" s="11" t="s">
        <v>269</v>
      </c>
      <c r="Z4" s="29" t="s">
        <v>590</v>
      </c>
      <c r="AA4" s="37" t="s">
        <v>98</v>
      </c>
      <c r="AB4" s="35" t="s">
        <v>61</v>
      </c>
      <c r="AC4" t="s">
        <v>60</v>
      </c>
      <c r="AD4" s="34" t="s">
        <v>258</v>
      </c>
    </row>
    <row r="5" spans="1:30" ht="18" x14ac:dyDescent="0.2">
      <c r="A5" t="s">
        <v>661</v>
      </c>
      <c r="B5" s="11" t="s">
        <v>203</v>
      </c>
      <c r="C5" s="11" t="s">
        <v>254</v>
      </c>
      <c r="D5" s="11" t="s">
        <v>522</v>
      </c>
      <c r="E5" s="29">
        <v>5</v>
      </c>
      <c r="F5" s="29">
        <v>0.82</v>
      </c>
      <c r="G5" t="s">
        <v>60</v>
      </c>
      <c r="H5" t="s">
        <v>126</v>
      </c>
      <c r="I5">
        <v>0.5</v>
      </c>
      <c r="J5" t="s">
        <v>250</v>
      </c>
      <c r="K5" s="37" t="s">
        <v>94</v>
      </c>
      <c r="L5" s="30" t="s">
        <v>284</v>
      </c>
      <c r="M5" t="s">
        <v>328</v>
      </c>
      <c r="N5" t="s">
        <v>499</v>
      </c>
      <c r="O5" t="s">
        <v>250</v>
      </c>
      <c r="P5" s="34" t="s">
        <v>96</v>
      </c>
      <c r="Q5" t="s">
        <v>56</v>
      </c>
      <c r="R5" s="30" t="s">
        <v>404</v>
      </c>
      <c r="S5" t="s">
        <v>59</v>
      </c>
      <c r="T5" t="s">
        <v>424</v>
      </c>
      <c r="U5" s="30" t="s">
        <v>59</v>
      </c>
      <c r="V5" s="30" t="s">
        <v>250</v>
      </c>
      <c r="W5" t="s">
        <v>59</v>
      </c>
      <c r="X5" t="s">
        <v>236</v>
      </c>
      <c r="Y5" t="s">
        <v>236</v>
      </c>
      <c r="Z5" t="s">
        <v>242</v>
      </c>
      <c r="AA5" s="37" t="s">
        <v>98</v>
      </c>
      <c r="AB5" s="34" t="s">
        <v>60</v>
      </c>
      <c r="AC5" t="s">
        <v>60</v>
      </c>
      <c r="AD5" s="34" t="s">
        <v>258</v>
      </c>
    </row>
    <row r="6" spans="1:30" ht="18" x14ac:dyDescent="0.2">
      <c r="A6" t="s">
        <v>653</v>
      </c>
      <c r="B6" s="11" t="s">
        <v>467</v>
      </c>
      <c r="C6" s="11" t="s">
        <v>254</v>
      </c>
      <c r="D6" s="11" t="s">
        <v>522</v>
      </c>
      <c r="E6" s="29">
        <v>6</v>
      </c>
      <c r="F6" s="29">
        <v>0.76</v>
      </c>
      <c r="G6" t="s">
        <v>93</v>
      </c>
      <c r="H6" t="s">
        <v>125</v>
      </c>
      <c r="I6">
        <v>1</v>
      </c>
      <c r="J6" t="s">
        <v>250</v>
      </c>
      <c r="K6" s="37" t="s">
        <v>94</v>
      </c>
      <c r="L6" s="30" t="s">
        <v>286</v>
      </c>
      <c r="M6" t="s">
        <v>328</v>
      </c>
      <c r="N6" t="s">
        <v>498</v>
      </c>
      <c r="O6" t="s">
        <v>250</v>
      </c>
      <c r="P6" s="34" t="s">
        <v>96</v>
      </c>
      <c r="Q6" t="s">
        <v>56</v>
      </c>
      <c r="R6" s="30" t="s">
        <v>590</v>
      </c>
      <c r="S6" t="s">
        <v>59</v>
      </c>
      <c r="T6" t="s">
        <v>424</v>
      </c>
      <c r="U6" s="30" t="s">
        <v>242</v>
      </c>
      <c r="V6" s="30" t="s">
        <v>62</v>
      </c>
      <c r="W6" t="s">
        <v>59</v>
      </c>
      <c r="X6" t="s">
        <v>236</v>
      </c>
      <c r="Y6" t="s">
        <v>503</v>
      </c>
      <c r="Z6" t="s">
        <v>242</v>
      </c>
      <c r="AA6" s="37" t="s">
        <v>97</v>
      </c>
      <c r="AB6" s="34" t="s">
        <v>61</v>
      </c>
      <c r="AC6" t="s">
        <v>61</v>
      </c>
      <c r="AD6" s="34" t="s">
        <v>259</v>
      </c>
    </row>
    <row r="7" spans="1:30" ht="18" x14ac:dyDescent="0.2">
      <c r="A7" t="s">
        <v>653</v>
      </c>
      <c r="B7" s="11" t="s">
        <v>197</v>
      </c>
      <c r="C7" s="11" t="s">
        <v>254</v>
      </c>
      <c r="D7" s="11" t="s">
        <v>522</v>
      </c>
      <c r="E7" s="29">
        <v>6.5</v>
      </c>
      <c r="F7" s="29">
        <v>0.83</v>
      </c>
      <c r="G7" t="s">
        <v>60</v>
      </c>
      <c r="H7" t="s">
        <v>123</v>
      </c>
      <c r="I7">
        <v>0.5</v>
      </c>
      <c r="J7" t="s">
        <v>250</v>
      </c>
      <c r="K7" s="37" t="s">
        <v>313</v>
      </c>
      <c r="L7" s="30" t="s">
        <v>286</v>
      </c>
      <c r="M7" t="s">
        <v>328</v>
      </c>
      <c r="N7" t="s">
        <v>404</v>
      </c>
      <c r="O7" t="s">
        <v>250</v>
      </c>
      <c r="P7" s="34" t="s">
        <v>96</v>
      </c>
      <c r="Q7" s="37" t="s">
        <v>55</v>
      </c>
      <c r="R7" s="30" t="s">
        <v>401</v>
      </c>
      <c r="S7" t="s">
        <v>59</v>
      </c>
      <c r="T7" t="s">
        <v>404</v>
      </c>
      <c r="U7" s="30" t="s">
        <v>59</v>
      </c>
      <c r="V7" s="30" t="s">
        <v>250</v>
      </c>
      <c r="W7" t="s">
        <v>242</v>
      </c>
      <c r="X7" t="s">
        <v>236</v>
      </c>
      <c r="Y7" t="s">
        <v>421</v>
      </c>
      <c r="Z7" t="s">
        <v>59</v>
      </c>
      <c r="AA7" s="37" t="s">
        <v>97</v>
      </c>
      <c r="AB7" s="34" t="s">
        <v>60</v>
      </c>
      <c r="AC7" s="34" t="s">
        <v>60</v>
      </c>
      <c r="AD7" s="34" t="s">
        <v>258</v>
      </c>
    </row>
    <row r="8" spans="1:30" ht="18" x14ac:dyDescent="0.2">
      <c r="A8" t="s">
        <v>653</v>
      </c>
      <c r="B8" s="11" t="s">
        <v>292</v>
      </c>
      <c r="C8" s="11" t="s">
        <v>383</v>
      </c>
      <c r="D8" s="11" t="s">
        <v>522</v>
      </c>
      <c r="E8" s="29">
        <v>7.5</v>
      </c>
      <c r="F8" s="29">
        <v>0.8</v>
      </c>
      <c r="G8" t="s">
        <v>93</v>
      </c>
      <c r="H8" t="s">
        <v>125</v>
      </c>
      <c r="I8">
        <v>1</v>
      </c>
      <c r="J8" t="s">
        <v>250</v>
      </c>
      <c r="K8" s="37" t="s">
        <v>313</v>
      </c>
      <c r="L8" s="30" t="s">
        <v>58</v>
      </c>
      <c r="M8" t="s">
        <v>328</v>
      </c>
      <c r="N8" t="s">
        <v>401</v>
      </c>
      <c r="O8" t="s">
        <v>250</v>
      </c>
      <c r="P8" s="34" t="s">
        <v>96</v>
      </c>
      <c r="Q8" t="s">
        <v>59</v>
      </c>
      <c r="R8" s="30" t="s">
        <v>59</v>
      </c>
      <c r="S8" t="s">
        <v>59</v>
      </c>
      <c r="T8" t="s">
        <v>404</v>
      </c>
      <c r="U8" s="30" t="s">
        <v>59</v>
      </c>
      <c r="V8" s="30" t="s">
        <v>62</v>
      </c>
      <c r="W8" t="s">
        <v>59</v>
      </c>
      <c r="X8" t="s">
        <v>236</v>
      </c>
      <c r="Y8" t="s">
        <v>416</v>
      </c>
      <c r="Z8" t="s">
        <v>59</v>
      </c>
      <c r="AA8" s="37" t="s">
        <v>97</v>
      </c>
      <c r="AB8" s="34" t="s">
        <v>60</v>
      </c>
      <c r="AC8" t="s">
        <v>60</v>
      </c>
      <c r="AD8" t="s">
        <v>260</v>
      </c>
    </row>
    <row r="9" spans="1:30" ht="18" x14ac:dyDescent="0.2">
      <c r="B9" s="11" t="s">
        <v>465</v>
      </c>
      <c r="D9" s="11" t="s">
        <v>522</v>
      </c>
      <c r="E9" s="29"/>
      <c r="F9" s="29"/>
      <c r="G9" s="11" t="s">
        <v>93</v>
      </c>
      <c r="H9" s="11" t="s">
        <v>124</v>
      </c>
      <c r="I9" s="11"/>
      <c r="J9" s="11"/>
      <c r="K9" s="37" t="s">
        <v>313</v>
      </c>
      <c r="L9" s="29" t="s">
        <v>58</v>
      </c>
      <c r="M9" t="s">
        <v>328</v>
      </c>
      <c r="N9" s="11" t="s">
        <v>401</v>
      </c>
      <c r="O9" s="11" t="s">
        <v>250</v>
      </c>
      <c r="P9" s="34" t="s">
        <v>96</v>
      </c>
      <c r="Q9" s="11" t="s">
        <v>59</v>
      </c>
      <c r="R9" s="29" t="s">
        <v>59</v>
      </c>
      <c r="S9" s="11" t="s">
        <v>59</v>
      </c>
      <c r="T9" s="11"/>
      <c r="U9" s="29"/>
      <c r="V9" s="29"/>
      <c r="W9" t="s">
        <v>59</v>
      </c>
      <c r="X9" s="11" t="s">
        <v>236</v>
      </c>
      <c r="Y9" t="s">
        <v>416</v>
      </c>
      <c r="Z9" s="11" t="s">
        <v>59</v>
      </c>
      <c r="AA9" s="37" t="s">
        <v>97</v>
      </c>
      <c r="AB9" s="35" t="s">
        <v>61</v>
      </c>
      <c r="AC9" t="s">
        <v>61</v>
      </c>
      <c r="AD9" s="34" t="s">
        <v>260</v>
      </c>
    </row>
    <row r="10" spans="1:30" ht="18" x14ac:dyDescent="0.2">
      <c r="B10" s="11" t="s">
        <v>290</v>
      </c>
      <c r="C10" s="11" t="s">
        <v>382</v>
      </c>
      <c r="D10" s="11" t="s">
        <v>522</v>
      </c>
      <c r="E10" s="29"/>
      <c r="F10" s="29"/>
      <c r="G10" s="11" t="s">
        <v>449</v>
      </c>
      <c r="H10" s="11" t="s">
        <v>124</v>
      </c>
      <c r="I10" s="11">
        <v>0.5</v>
      </c>
      <c r="J10" s="11" t="s">
        <v>250</v>
      </c>
      <c r="K10" s="37" t="s">
        <v>313</v>
      </c>
      <c r="L10" s="29" t="s">
        <v>58</v>
      </c>
      <c r="M10" t="s">
        <v>328</v>
      </c>
      <c r="N10" s="11" t="s">
        <v>404</v>
      </c>
      <c r="O10" s="11" t="s">
        <v>62</v>
      </c>
      <c r="P10" s="34" t="s">
        <v>59</v>
      </c>
      <c r="Q10" s="11" t="s">
        <v>367</v>
      </c>
      <c r="R10" s="29" t="s">
        <v>59</v>
      </c>
      <c r="S10" s="11" t="s">
        <v>59</v>
      </c>
      <c r="T10" s="11" t="s">
        <v>401</v>
      </c>
      <c r="U10" s="29"/>
      <c r="V10" s="29"/>
      <c r="W10" t="s">
        <v>59</v>
      </c>
      <c r="X10" s="11" t="s">
        <v>236</v>
      </c>
      <c r="Y10" t="s">
        <v>62</v>
      </c>
      <c r="Z10" s="11" t="s">
        <v>242</v>
      </c>
      <c r="AA10" s="37" t="s">
        <v>97</v>
      </c>
      <c r="AB10" s="35" t="s">
        <v>61</v>
      </c>
      <c r="AC10" t="s">
        <v>61</v>
      </c>
      <c r="AD10" s="34" t="s">
        <v>258</v>
      </c>
    </row>
    <row r="11" spans="1:30" s="30" customFormat="1" ht="18" x14ac:dyDescent="0.2">
      <c r="B11" s="11" t="s">
        <v>466</v>
      </c>
      <c r="C11" s="11" t="s">
        <v>382</v>
      </c>
      <c r="D11" s="11" t="s">
        <v>522</v>
      </c>
      <c r="E11" s="29"/>
      <c r="F11" s="29"/>
      <c r="G11" s="11" t="s">
        <v>93</v>
      </c>
      <c r="H11" s="11" t="s">
        <v>123</v>
      </c>
      <c r="I11">
        <v>1</v>
      </c>
      <c r="J11" t="s">
        <v>250</v>
      </c>
      <c r="K11" s="37" t="s">
        <v>314</v>
      </c>
      <c r="L11" s="29" t="s">
        <v>58</v>
      </c>
      <c r="M11" t="s">
        <v>328</v>
      </c>
      <c r="N11" s="11" t="s">
        <v>401</v>
      </c>
      <c r="O11" s="11" t="s">
        <v>250</v>
      </c>
      <c r="P11" s="34" t="s">
        <v>96</v>
      </c>
      <c r="Q11" s="11" t="s">
        <v>367</v>
      </c>
      <c r="R11" s="29" t="s">
        <v>59</v>
      </c>
      <c r="S11" s="11" t="s">
        <v>59</v>
      </c>
      <c r="T11" s="11" t="s">
        <v>424</v>
      </c>
      <c r="U11" s="29"/>
      <c r="V11" s="29"/>
      <c r="W11" t="s">
        <v>59</v>
      </c>
      <c r="X11" s="11" t="s">
        <v>236</v>
      </c>
      <c r="Y11" s="11" t="s">
        <v>419</v>
      </c>
      <c r="Z11" s="11" t="s">
        <v>59</v>
      </c>
      <c r="AA11" s="37" t="s">
        <v>98</v>
      </c>
      <c r="AB11" s="35" t="s">
        <v>60</v>
      </c>
      <c r="AC11" s="11" t="s">
        <v>60</v>
      </c>
      <c r="AD11" s="34" t="s">
        <v>259</v>
      </c>
    </row>
    <row r="12" spans="1:30" s="30" customFormat="1" ht="18" x14ac:dyDescent="0.2">
      <c r="B12" s="11" t="s">
        <v>592</v>
      </c>
      <c r="C12" t="s">
        <v>254</v>
      </c>
      <c r="D12" s="11" t="s">
        <v>522</v>
      </c>
      <c r="E12" s="29"/>
      <c r="F12" s="29"/>
      <c r="G12" t="s">
        <v>133</v>
      </c>
      <c r="H12" t="s">
        <v>125</v>
      </c>
      <c r="I12">
        <v>2</v>
      </c>
      <c r="J12" t="s">
        <v>62</v>
      </c>
      <c r="K12" s="37" t="s">
        <v>313</v>
      </c>
      <c r="L12" s="30" t="s">
        <v>134</v>
      </c>
      <c r="M12" t="s">
        <v>328</v>
      </c>
      <c r="N12" t="s">
        <v>498</v>
      </c>
      <c r="O12" t="s">
        <v>62</v>
      </c>
      <c r="P12" s="34" t="s">
        <v>59</v>
      </c>
      <c r="Q12" t="s">
        <v>56</v>
      </c>
      <c r="R12" s="30" t="s">
        <v>59</v>
      </c>
      <c r="S12" t="s">
        <v>59</v>
      </c>
      <c r="T12" t="s">
        <v>424</v>
      </c>
      <c r="W12" t="s">
        <v>59</v>
      </c>
      <c r="X12" t="s">
        <v>236</v>
      </c>
      <c r="Y12" t="s">
        <v>236</v>
      </c>
      <c r="Z12" t="s">
        <v>59</v>
      </c>
      <c r="AA12" s="37" t="s">
        <v>97</v>
      </c>
      <c r="AB12" s="35" t="s">
        <v>61</v>
      </c>
      <c r="AC12" t="s">
        <v>61</v>
      </c>
      <c r="AD12" s="34" t="s">
        <v>261</v>
      </c>
    </row>
    <row r="13" spans="1:30" s="30" customFormat="1" ht="18" x14ac:dyDescent="0.2">
      <c r="B13" s="11" t="s">
        <v>293</v>
      </c>
      <c r="C13" s="11" t="s">
        <v>383</v>
      </c>
      <c r="D13" s="11" t="s">
        <v>522</v>
      </c>
      <c r="E13" s="29">
        <v>9</v>
      </c>
      <c r="F13" s="29"/>
      <c r="G13" t="s">
        <v>93</v>
      </c>
      <c r="H13" t="s">
        <v>123</v>
      </c>
      <c r="I13" t="s">
        <v>255</v>
      </c>
      <c r="J13" t="s">
        <v>62</v>
      </c>
      <c r="K13" s="37" t="s">
        <v>314</v>
      </c>
      <c r="L13" s="30" t="s">
        <v>58</v>
      </c>
      <c r="M13" t="s">
        <v>328</v>
      </c>
      <c r="N13" t="s">
        <v>401</v>
      </c>
      <c r="O13" t="s">
        <v>662</v>
      </c>
      <c r="P13" s="34" t="s">
        <v>96</v>
      </c>
      <c r="Q13" t="s">
        <v>367</v>
      </c>
      <c r="R13" s="30" t="s">
        <v>590</v>
      </c>
      <c r="S13" t="s">
        <v>242</v>
      </c>
      <c r="T13" t="s">
        <v>401</v>
      </c>
      <c r="W13" t="s">
        <v>242</v>
      </c>
      <c r="X13" t="s">
        <v>58</v>
      </c>
      <c r="Y13" t="s">
        <v>421</v>
      </c>
      <c r="Z13" t="s">
        <v>59</v>
      </c>
      <c r="AA13" s="37" t="s">
        <v>98</v>
      </c>
      <c r="AB13" s="35" t="s">
        <v>422</v>
      </c>
      <c r="AC13" t="s">
        <v>60</v>
      </c>
      <c r="AD13" t="s">
        <v>259</v>
      </c>
    </row>
    <row r="14" spans="1:30" ht="16" x14ac:dyDescent="0.2">
      <c r="B14" s="11" t="s">
        <v>469</v>
      </c>
      <c r="C14" t="s">
        <v>323</v>
      </c>
      <c r="D14" s="11" t="s">
        <v>522</v>
      </c>
      <c r="E14" s="29"/>
      <c r="F14" s="29"/>
      <c r="G14" t="s">
        <v>93</v>
      </c>
      <c r="K14" s="37" t="s">
        <v>314</v>
      </c>
      <c r="M14" t="s">
        <v>329</v>
      </c>
    </row>
    <row r="15" spans="1:30" ht="18" x14ac:dyDescent="0.2">
      <c r="B15" s="11" t="s">
        <v>468</v>
      </c>
      <c r="C15" s="11" t="s">
        <v>387</v>
      </c>
      <c r="D15" s="11" t="s">
        <v>522</v>
      </c>
      <c r="E15" s="29"/>
      <c r="F15" s="29"/>
      <c r="G15" s="11" t="s">
        <v>93</v>
      </c>
      <c r="H15" s="11" t="s">
        <v>126</v>
      </c>
      <c r="I15" s="11" t="s">
        <v>388</v>
      </c>
      <c r="J15" s="11" t="s">
        <v>250</v>
      </c>
      <c r="K15" s="37" t="s">
        <v>314</v>
      </c>
      <c r="L15" s="29" t="s">
        <v>58</v>
      </c>
      <c r="M15" s="11" t="s">
        <v>328</v>
      </c>
      <c r="N15" t="s">
        <v>401</v>
      </c>
      <c r="O15" s="11" t="s">
        <v>62</v>
      </c>
      <c r="P15" s="34" t="s">
        <v>59</v>
      </c>
      <c r="Q15" s="11" t="s">
        <v>367</v>
      </c>
      <c r="R15" s="29" t="s">
        <v>59</v>
      </c>
      <c r="T15" s="11" t="s">
        <v>401</v>
      </c>
      <c r="U15" s="29"/>
      <c r="V15" s="29"/>
      <c r="W15" s="11" t="s">
        <v>59</v>
      </c>
      <c r="X15" s="11" t="s">
        <v>58</v>
      </c>
      <c r="Y15" s="11" t="s">
        <v>416</v>
      </c>
      <c r="Z15" s="11" t="s">
        <v>59</v>
      </c>
      <c r="AA15" s="37" t="s">
        <v>97</v>
      </c>
      <c r="AB15" s="35" t="s">
        <v>60</v>
      </c>
      <c r="AC15" s="11" t="s">
        <v>61</v>
      </c>
      <c r="AD15" s="34" t="s">
        <v>258</v>
      </c>
    </row>
    <row r="16" spans="1:30" ht="18" x14ac:dyDescent="0.2">
      <c r="B16" s="11" t="s">
        <v>487</v>
      </c>
      <c r="C16" s="11" t="s">
        <v>254</v>
      </c>
      <c r="D16" s="11" t="s">
        <v>522</v>
      </c>
      <c r="E16" s="29"/>
      <c r="F16" s="29"/>
      <c r="G16" s="11" t="s">
        <v>93</v>
      </c>
      <c r="H16" s="11" t="s">
        <v>123</v>
      </c>
      <c r="I16" s="11">
        <v>2</v>
      </c>
      <c r="J16" s="11" t="s">
        <v>62</v>
      </c>
      <c r="K16" s="37" t="s">
        <v>94</v>
      </c>
      <c r="L16" s="29" t="s">
        <v>284</v>
      </c>
      <c r="M16" s="11" t="s">
        <v>328</v>
      </c>
      <c r="N16" t="s">
        <v>498</v>
      </c>
      <c r="O16" s="11" t="s">
        <v>62</v>
      </c>
      <c r="P16" s="34" t="s">
        <v>96</v>
      </c>
      <c r="Q16" s="11" t="s">
        <v>55</v>
      </c>
      <c r="R16" s="29" t="s">
        <v>242</v>
      </c>
      <c r="S16" s="11" t="s">
        <v>59</v>
      </c>
      <c r="T16" s="11" t="s">
        <v>404</v>
      </c>
      <c r="U16" s="29"/>
      <c r="V16" s="29"/>
      <c r="W16" s="11" t="s">
        <v>59</v>
      </c>
      <c r="X16" s="11" t="s">
        <v>236</v>
      </c>
      <c r="Y16" s="11" t="s">
        <v>488</v>
      </c>
      <c r="Z16" s="11" t="s">
        <v>242</v>
      </c>
      <c r="AA16" s="37" t="s">
        <v>97</v>
      </c>
      <c r="AB16" s="35" t="s">
        <v>60</v>
      </c>
      <c r="AC16" s="11" t="s">
        <v>61</v>
      </c>
      <c r="AD16" s="34" t="s">
        <v>258</v>
      </c>
    </row>
    <row r="17" spans="1:30" ht="18" x14ac:dyDescent="0.2">
      <c r="A17" t="s">
        <v>653</v>
      </c>
      <c r="B17" s="11" t="s">
        <v>508</v>
      </c>
      <c r="C17" s="11" t="s">
        <v>254</v>
      </c>
      <c r="D17" s="11" t="s">
        <v>522</v>
      </c>
      <c r="E17" s="29">
        <v>6</v>
      </c>
      <c r="F17" s="29">
        <v>0.8</v>
      </c>
      <c r="G17" s="11" t="s">
        <v>60</v>
      </c>
      <c r="H17" s="11" t="s">
        <v>123</v>
      </c>
      <c r="I17" s="11">
        <v>2</v>
      </c>
      <c r="J17" s="11" t="s">
        <v>62</v>
      </c>
      <c r="K17" s="37" t="s">
        <v>314</v>
      </c>
      <c r="L17" s="29" t="s">
        <v>284</v>
      </c>
      <c r="M17" s="11" t="s">
        <v>328</v>
      </c>
      <c r="N17" s="11" t="s">
        <v>401</v>
      </c>
      <c r="O17" s="11" t="s">
        <v>62</v>
      </c>
      <c r="P17" s="34" t="s">
        <v>96</v>
      </c>
      <c r="Q17" s="11" t="s">
        <v>56</v>
      </c>
      <c r="R17" s="29" t="s">
        <v>401</v>
      </c>
      <c r="S17" s="11" t="s">
        <v>59</v>
      </c>
      <c r="T17" s="11" t="s">
        <v>401</v>
      </c>
      <c r="U17" s="29" t="s">
        <v>242</v>
      </c>
      <c r="V17" s="29" t="s">
        <v>62</v>
      </c>
      <c r="W17" s="11" t="s">
        <v>59</v>
      </c>
      <c r="X17" s="11" t="s">
        <v>236</v>
      </c>
      <c r="Y17" s="11" t="s">
        <v>488</v>
      </c>
      <c r="Z17" s="11" t="s">
        <v>242</v>
      </c>
      <c r="AA17" s="37" t="s">
        <v>97</v>
      </c>
      <c r="AB17" s="35" t="s">
        <v>61</v>
      </c>
      <c r="AC17" s="11" t="s">
        <v>61</v>
      </c>
      <c r="AD17" s="34" t="s">
        <v>258</v>
      </c>
    </row>
    <row r="18" spans="1:30" s="30" customFormat="1" ht="18" x14ac:dyDescent="0.2">
      <c r="A18" s="30" t="s">
        <v>653</v>
      </c>
      <c r="B18" s="29" t="s">
        <v>556</v>
      </c>
      <c r="C18" s="11" t="s">
        <v>254</v>
      </c>
      <c r="D18" s="11" t="s">
        <v>522</v>
      </c>
      <c r="E18" s="29">
        <v>6.5</v>
      </c>
      <c r="F18" s="29">
        <v>1</v>
      </c>
      <c r="G18" s="29" t="s">
        <v>60</v>
      </c>
      <c r="H18" s="29" t="s">
        <v>123</v>
      </c>
      <c r="I18" s="29">
        <v>2</v>
      </c>
      <c r="J18" s="29" t="s">
        <v>250</v>
      </c>
      <c r="K18" s="13" t="s">
        <v>314</v>
      </c>
      <c r="L18" s="29" t="s">
        <v>134</v>
      </c>
      <c r="M18" s="29" t="s">
        <v>328</v>
      </c>
      <c r="N18" s="29" t="s">
        <v>498</v>
      </c>
      <c r="O18" s="29" t="s">
        <v>250</v>
      </c>
      <c r="P18" s="50" t="s">
        <v>96</v>
      </c>
      <c r="Q18" s="29" t="s">
        <v>56</v>
      </c>
      <c r="R18" s="29" t="s">
        <v>242</v>
      </c>
      <c r="S18" s="29" t="s">
        <v>59</v>
      </c>
      <c r="T18" s="29" t="s">
        <v>404</v>
      </c>
      <c r="U18" s="29" t="s">
        <v>59</v>
      </c>
      <c r="V18" s="29" t="s">
        <v>250</v>
      </c>
      <c r="W18" s="29" t="s">
        <v>59</v>
      </c>
      <c r="X18" s="29" t="s">
        <v>236</v>
      </c>
      <c r="Y18" s="29" t="s">
        <v>416</v>
      </c>
      <c r="Z18" s="29" t="s">
        <v>242</v>
      </c>
      <c r="AA18" s="13" t="s">
        <v>97</v>
      </c>
      <c r="AB18" s="51" t="s">
        <v>422</v>
      </c>
      <c r="AC18" s="29" t="s">
        <v>61</v>
      </c>
      <c r="AD18" s="50" t="s">
        <v>258</v>
      </c>
    </row>
    <row r="19" spans="1:30" s="30" customFormat="1" ht="18" x14ac:dyDescent="0.2">
      <c r="A19" s="30" t="s">
        <v>653</v>
      </c>
      <c r="B19" s="55" t="s">
        <v>553</v>
      </c>
      <c r="C19" s="29" t="s">
        <v>254</v>
      </c>
      <c r="D19" s="29" t="s">
        <v>522</v>
      </c>
      <c r="E19" s="29">
        <v>5</v>
      </c>
      <c r="F19" s="29">
        <v>0.81</v>
      </c>
      <c r="G19" s="29" t="s">
        <v>93</v>
      </c>
      <c r="H19" t="s">
        <v>124</v>
      </c>
      <c r="I19" s="29">
        <v>1</v>
      </c>
      <c r="J19" s="29" t="s">
        <v>250</v>
      </c>
      <c r="K19" s="13"/>
      <c r="L19" s="29" t="s">
        <v>284</v>
      </c>
      <c r="M19" s="29" t="s">
        <v>328</v>
      </c>
      <c r="N19" s="29" t="s">
        <v>498</v>
      </c>
      <c r="O19" s="29" t="s">
        <v>250</v>
      </c>
      <c r="P19" s="50" t="s">
        <v>96</v>
      </c>
      <c r="Q19" s="11" t="s">
        <v>56</v>
      </c>
      <c r="R19" s="29" t="s">
        <v>242</v>
      </c>
      <c r="S19" s="29" t="s">
        <v>59</v>
      </c>
      <c r="T19" s="29" t="s">
        <v>424</v>
      </c>
      <c r="U19" s="29"/>
      <c r="V19" s="29" t="s">
        <v>62</v>
      </c>
      <c r="W19" s="29" t="s">
        <v>59</v>
      </c>
      <c r="X19" s="29" t="s">
        <v>236</v>
      </c>
      <c r="Y19" s="29" t="s">
        <v>236</v>
      </c>
      <c r="Z19" s="29" t="s">
        <v>242</v>
      </c>
      <c r="AA19" s="13" t="s">
        <v>97</v>
      </c>
      <c r="AB19" s="51" t="s">
        <v>60</v>
      </c>
      <c r="AC19" s="29" t="s">
        <v>61</v>
      </c>
      <c r="AD19" s="50" t="s">
        <v>258</v>
      </c>
    </row>
    <row r="20" spans="1:30" ht="18" x14ac:dyDescent="0.2">
      <c r="A20" t="s">
        <v>653</v>
      </c>
      <c r="B20" s="11" t="s">
        <v>554</v>
      </c>
      <c r="C20" s="11" t="s">
        <v>254</v>
      </c>
      <c r="D20" s="11" t="s">
        <v>522</v>
      </c>
      <c r="E20" s="29">
        <v>5</v>
      </c>
      <c r="F20" s="29">
        <v>0.8</v>
      </c>
      <c r="G20" s="11" t="s">
        <v>93</v>
      </c>
      <c r="H20" s="11" t="s">
        <v>124</v>
      </c>
      <c r="I20" s="11">
        <v>1</v>
      </c>
      <c r="J20" s="11" t="s">
        <v>250</v>
      </c>
      <c r="K20" s="83" t="s">
        <v>314</v>
      </c>
      <c r="L20" s="29" t="s">
        <v>284</v>
      </c>
      <c r="M20" s="11" t="s">
        <v>328</v>
      </c>
      <c r="N20" s="11" t="s">
        <v>498</v>
      </c>
      <c r="O20" s="11" t="s">
        <v>250</v>
      </c>
      <c r="P20" s="34" t="s">
        <v>96</v>
      </c>
      <c r="Q20" s="11" t="s">
        <v>56</v>
      </c>
      <c r="R20" s="29" t="s">
        <v>404</v>
      </c>
      <c r="S20" s="11" t="s">
        <v>59</v>
      </c>
      <c r="T20" s="11" t="s">
        <v>404</v>
      </c>
      <c r="U20" s="29" t="s">
        <v>59</v>
      </c>
      <c r="V20" s="29" t="s">
        <v>250</v>
      </c>
      <c r="W20" s="11" t="s">
        <v>59</v>
      </c>
      <c r="X20" s="11" t="s">
        <v>236</v>
      </c>
      <c r="Y20" s="11" t="s">
        <v>416</v>
      </c>
      <c r="Z20" s="11" t="s">
        <v>242</v>
      </c>
      <c r="AA20" s="83" t="s">
        <v>98</v>
      </c>
      <c r="AB20" s="51" t="s">
        <v>60</v>
      </c>
      <c r="AC20" s="11" t="s">
        <v>61</v>
      </c>
      <c r="AD20" s="34" t="s">
        <v>258</v>
      </c>
    </row>
    <row r="21" spans="1:30" s="30" customFormat="1" ht="18" x14ac:dyDescent="0.2">
      <c r="A21" t="s">
        <v>658</v>
      </c>
      <c r="B21" s="56" t="s">
        <v>555</v>
      </c>
      <c r="C21" s="29" t="s">
        <v>254</v>
      </c>
      <c r="D21" s="29" t="s">
        <v>522</v>
      </c>
      <c r="E21" s="29">
        <v>7</v>
      </c>
      <c r="F21" s="29">
        <v>0.73</v>
      </c>
      <c r="G21" s="29" t="s">
        <v>93</v>
      </c>
      <c r="H21" s="29" t="s">
        <v>589</v>
      </c>
      <c r="I21" s="29">
        <v>1</v>
      </c>
      <c r="J21" s="29" t="s">
        <v>250</v>
      </c>
      <c r="K21" s="13" t="s">
        <v>314</v>
      </c>
      <c r="L21" s="29" t="s">
        <v>58</v>
      </c>
      <c r="M21" s="29" t="s">
        <v>328</v>
      </c>
      <c r="N21" s="29" t="s">
        <v>401</v>
      </c>
      <c r="O21" s="29" t="s">
        <v>250</v>
      </c>
      <c r="P21" s="50" t="s">
        <v>59</v>
      </c>
      <c r="Q21" s="29" t="s">
        <v>56</v>
      </c>
      <c r="R21" s="29" t="s">
        <v>404</v>
      </c>
      <c r="S21" s="29" t="s">
        <v>59</v>
      </c>
      <c r="T21" s="29" t="s">
        <v>404</v>
      </c>
      <c r="U21" s="29" t="s">
        <v>242</v>
      </c>
      <c r="V21" s="29" t="s">
        <v>250</v>
      </c>
      <c r="W21" s="29" t="s">
        <v>59</v>
      </c>
      <c r="X21" s="30" t="s">
        <v>236</v>
      </c>
      <c r="Y21" s="30" t="s">
        <v>503</v>
      </c>
      <c r="Z21" s="30" t="s">
        <v>242</v>
      </c>
      <c r="AA21" s="13" t="s">
        <v>97</v>
      </c>
      <c r="AB21" s="51" t="s">
        <v>60</v>
      </c>
      <c r="AC21" s="29" t="s">
        <v>61</v>
      </c>
      <c r="AD21" s="50" t="s">
        <v>258</v>
      </c>
    </row>
    <row r="22" spans="1:30" ht="18" x14ac:dyDescent="0.2">
      <c r="A22" t="s">
        <v>653</v>
      </c>
      <c r="B22" s="11" t="s">
        <v>556</v>
      </c>
      <c r="C22" s="11" t="s">
        <v>254</v>
      </c>
      <c r="D22" s="11" t="s">
        <v>522</v>
      </c>
      <c r="E22" s="29">
        <v>6.5</v>
      </c>
      <c r="F22" s="29">
        <v>1</v>
      </c>
      <c r="G22" s="11" t="s">
        <v>60</v>
      </c>
      <c r="H22" s="11" t="s">
        <v>123</v>
      </c>
      <c r="I22" s="11">
        <v>1</v>
      </c>
      <c r="J22" s="11" t="s">
        <v>250</v>
      </c>
      <c r="K22" s="83" t="s">
        <v>314</v>
      </c>
      <c r="L22" s="29" t="s">
        <v>657</v>
      </c>
      <c r="M22" s="29" t="s">
        <v>328</v>
      </c>
      <c r="N22" s="11" t="s">
        <v>498</v>
      </c>
      <c r="O22" s="11" t="s">
        <v>250</v>
      </c>
      <c r="P22" s="34" t="s">
        <v>96</v>
      </c>
      <c r="Q22" s="11" t="s">
        <v>56</v>
      </c>
      <c r="R22" s="29" t="s">
        <v>401</v>
      </c>
      <c r="S22" s="11" t="s">
        <v>59</v>
      </c>
      <c r="T22" s="11" t="s">
        <v>401</v>
      </c>
      <c r="U22" s="29" t="s">
        <v>59</v>
      </c>
      <c r="V22" s="29" t="s">
        <v>62</v>
      </c>
      <c r="W22" s="11" t="s">
        <v>59</v>
      </c>
      <c r="X22" s="11" t="s">
        <v>236</v>
      </c>
      <c r="Y22" s="11" t="s">
        <v>416</v>
      </c>
      <c r="Z22" s="11" t="s">
        <v>59</v>
      </c>
      <c r="AA22" s="83" t="s">
        <v>97</v>
      </c>
      <c r="AB22" s="35" t="s">
        <v>61</v>
      </c>
      <c r="AC22" s="11" t="s">
        <v>61</v>
      </c>
      <c r="AD22" s="34" t="s">
        <v>258</v>
      </c>
    </row>
    <row r="23" spans="1:30" s="30" customFormat="1" ht="18" x14ac:dyDescent="0.2">
      <c r="A23" s="30" t="s">
        <v>660</v>
      </c>
      <c r="B23" s="56" t="s">
        <v>659</v>
      </c>
      <c r="C23" s="29" t="s">
        <v>254</v>
      </c>
      <c r="D23" s="29" t="s">
        <v>522</v>
      </c>
      <c r="E23" s="29">
        <v>5.5</v>
      </c>
      <c r="F23" s="29">
        <v>0.98</v>
      </c>
      <c r="G23" s="29" t="s">
        <v>60</v>
      </c>
      <c r="H23" s="29" t="s">
        <v>124</v>
      </c>
      <c r="I23" s="29">
        <v>2</v>
      </c>
      <c r="J23" s="29" t="s">
        <v>250</v>
      </c>
      <c r="K23" s="13" t="s">
        <v>314</v>
      </c>
      <c r="L23" s="29" t="s">
        <v>134</v>
      </c>
      <c r="M23" s="29" t="s">
        <v>328</v>
      </c>
      <c r="N23" s="29" t="s">
        <v>401</v>
      </c>
      <c r="O23" s="29"/>
      <c r="P23" s="50"/>
      <c r="Q23" s="29"/>
      <c r="R23" s="29"/>
      <c r="S23" s="29"/>
      <c r="T23" s="29"/>
      <c r="U23" s="29"/>
      <c r="V23" s="29"/>
      <c r="W23" s="29"/>
      <c r="X23" s="29"/>
      <c r="Y23" s="29"/>
      <c r="Z23" s="29"/>
      <c r="AA23" s="13"/>
      <c r="AB23" s="51"/>
      <c r="AC23" s="29"/>
      <c r="AD23" s="50"/>
    </row>
    <row r="24" spans="1:30" s="30" customFormat="1" ht="18" x14ac:dyDescent="0.2">
      <c r="A24" s="30" t="s">
        <v>658</v>
      </c>
      <c r="B24" s="56" t="s">
        <v>557</v>
      </c>
      <c r="C24" s="29"/>
      <c r="D24" s="29" t="s">
        <v>522</v>
      </c>
      <c r="E24" s="29">
        <v>4.5</v>
      </c>
      <c r="F24" s="29">
        <v>1</v>
      </c>
      <c r="G24" s="29" t="s">
        <v>60</v>
      </c>
      <c r="H24" s="29" t="s">
        <v>126</v>
      </c>
      <c r="I24" s="29">
        <v>2</v>
      </c>
      <c r="J24" s="29" t="s">
        <v>250</v>
      </c>
      <c r="K24" s="13" t="s">
        <v>314</v>
      </c>
      <c r="L24" s="29" t="s">
        <v>58</v>
      </c>
      <c r="M24" s="29" t="s">
        <v>328</v>
      </c>
      <c r="N24" s="29" t="s">
        <v>498</v>
      </c>
      <c r="O24" s="29" t="s">
        <v>250</v>
      </c>
      <c r="P24" s="50" t="s">
        <v>59</v>
      </c>
      <c r="Q24" s="29" t="s">
        <v>56</v>
      </c>
      <c r="R24" s="29" t="s">
        <v>242</v>
      </c>
      <c r="S24" s="29" t="s">
        <v>59</v>
      </c>
      <c r="T24" s="29" t="s">
        <v>424</v>
      </c>
      <c r="U24" s="29" t="s">
        <v>59</v>
      </c>
      <c r="V24" s="29" t="s">
        <v>250</v>
      </c>
      <c r="W24" s="29" t="s">
        <v>590</v>
      </c>
      <c r="X24" s="29" t="s">
        <v>236</v>
      </c>
      <c r="Y24" s="29" t="s">
        <v>416</v>
      </c>
      <c r="Z24" s="29" t="s">
        <v>59</v>
      </c>
      <c r="AA24" s="13" t="s">
        <v>98</v>
      </c>
      <c r="AB24" s="51" t="s">
        <v>60</v>
      </c>
      <c r="AC24" s="29" t="s">
        <v>61</v>
      </c>
      <c r="AD24" s="50" t="s">
        <v>529</v>
      </c>
    </row>
    <row r="25" spans="1:30" s="30" customFormat="1" ht="18" x14ac:dyDescent="0.2">
      <c r="B25" s="29" t="s">
        <v>551</v>
      </c>
      <c r="C25" s="29" t="s">
        <v>383</v>
      </c>
      <c r="D25" s="29" t="s">
        <v>522</v>
      </c>
      <c r="E25" s="29"/>
      <c r="F25" s="29"/>
      <c r="G25" s="29" t="s">
        <v>531</v>
      </c>
      <c r="H25" s="29" t="s">
        <v>123</v>
      </c>
      <c r="I25" s="29">
        <v>2</v>
      </c>
      <c r="J25" s="29" t="s">
        <v>250</v>
      </c>
      <c r="K25" s="13" t="s">
        <v>314</v>
      </c>
      <c r="L25" s="29" t="s">
        <v>58</v>
      </c>
      <c r="M25" s="29" t="s">
        <v>328</v>
      </c>
      <c r="N25" s="29" t="s">
        <v>401</v>
      </c>
      <c r="O25" s="29" t="s">
        <v>250</v>
      </c>
      <c r="P25" s="50"/>
      <c r="Q25" s="29" t="s">
        <v>367</v>
      </c>
      <c r="R25" s="29" t="s">
        <v>242</v>
      </c>
      <c r="S25" s="29" t="s">
        <v>59</v>
      </c>
      <c r="T25" s="11" t="s">
        <v>404</v>
      </c>
      <c r="U25" s="29"/>
      <c r="V25" s="29"/>
      <c r="W25" s="11" t="s">
        <v>242</v>
      </c>
      <c r="X25" s="29" t="s">
        <v>528</v>
      </c>
      <c r="Y25" t="s">
        <v>503</v>
      </c>
      <c r="Z25" s="11" t="s">
        <v>242</v>
      </c>
      <c r="AA25" s="13" t="s">
        <v>98</v>
      </c>
      <c r="AB25" s="51" t="s">
        <v>530</v>
      </c>
      <c r="AC25" s="29" t="s">
        <v>60</v>
      </c>
      <c r="AD25" s="50" t="s">
        <v>529</v>
      </c>
    </row>
    <row r="26" spans="1:30" s="30" customFormat="1" ht="18" x14ac:dyDescent="0.2">
      <c r="B26" s="29" t="s">
        <v>552</v>
      </c>
      <c r="C26" s="29" t="s">
        <v>383</v>
      </c>
      <c r="D26" s="29" t="s">
        <v>538</v>
      </c>
      <c r="E26" s="29"/>
      <c r="F26" s="29"/>
      <c r="G26" s="29"/>
      <c r="H26" s="29"/>
      <c r="I26" s="29"/>
      <c r="J26" s="29"/>
      <c r="K26" s="13"/>
      <c r="L26" s="29"/>
      <c r="M26" s="29"/>
      <c r="N26" s="29"/>
      <c r="O26" s="29"/>
      <c r="P26" s="50"/>
      <c r="Q26" s="29"/>
      <c r="R26" s="29"/>
      <c r="S26" s="29"/>
      <c r="T26" s="29"/>
      <c r="U26" s="29"/>
      <c r="V26" s="29"/>
      <c r="W26" s="29"/>
      <c r="X26" s="29"/>
      <c r="Y26" s="29"/>
      <c r="Z26" s="29"/>
      <c r="AA26" s="13"/>
      <c r="AB26" s="51"/>
      <c r="AC26" s="29"/>
      <c r="AD26" s="50"/>
    </row>
    <row r="27" spans="1:30" ht="18" x14ac:dyDescent="0.2">
      <c r="B27" s="11"/>
      <c r="C27" s="11"/>
      <c r="D27" s="11"/>
      <c r="E27" s="29"/>
      <c r="F27" s="29"/>
      <c r="G27" s="11"/>
      <c r="H27" s="11"/>
      <c r="I27" s="11"/>
      <c r="J27" s="11"/>
      <c r="K27" s="37"/>
      <c r="L27" s="29"/>
      <c r="M27" s="11"/>
      <c r="N27" s="11"/>
      <c r="O27" s="11"/>
      <c r="P27" s="34"/>
      <c r="Q27" s="11"/>
      <c r="R27" s="29"/>
      <c r="S27" s="11"/>
      <c r="T27" s="11"/>
      <c r="U27" s="29"/>
      <c r="V27" s="29"/>
      <c r="W27" s="11"/>
      <c r="X27" s="11"/>
      <c r="Y27" s="11"/>
      <c r="Z27" s="11"/>
      <c r="AA27" s="37"/>
      <c r="AB27" s="35"/>
      <c r="AC27" s="11"/>
      <c r="AD27" s="34"/>
    </row>
    <row r="28" spans="1:30" ht="18" x14ac:dyDescent="0.2">
      <c r="B28" s="11"/>
      <c r="C28" s="11"/>
      <c r="D28" s="11"/>
      <c r="E28" s="29"/>
      <c r="F28" s="29"/>
      <c r="G28" s="11"/>
      <c r="H28" s="11"/>
      <c r="I28" s="11"/>
      <c r="J28" s="11"/>
      <c r="K28" s="37"/>
      <c r="L28" s="29"/>
      <c r="M28" s="11"/>
      <c r="N28" s="11"/>
      <c r="O28" s="11"/>
      <c r="P28" s="34"/>
      <c r="Q28" s="11"/>
      <c r="R28" s="29" t="s">
        <v>652</v>
      </c>
      <c r="S28" s="11"/>
      <c r="T28" s="11"/>
      <c r="U28" s="29"/>
      <c r="V28" s="29" t="s">
        <v>656</v>
      </c>
      <c r="W28" s="11"/>
      <c r="X28" s="11"/>
      <c r="Y28" s="11"/>
      <c r="Z28" s="11"/>
      <c r="AA28" s="37"/>
      <c r="AB28" s="35"/>
      <c r="AC28" s="11"/>
      <c r="AD28" s="34"/>
    </row>
    <row r="29" spans="1:30" ht="18" x14ac:dyDescent="0.2">
      <c r="B29" s="11"/>
      <c r="C29" s="11"/>
      <c r="D29" s="11"/>
      <c r="E29" s="29"/>
      <c r="F29" s="29"/>
      <c r="G29" s="11"/>
      <c r="H29" s="11"/>
      <c r="I29" s="11"/>
      <c r="J29" s="11"/>
      <c r="K29" s="37"/>
      <c r="L29" s="29"/>
      <c r="M29" s="11"/>
      <c r="N29" s="11"/>
      <c r="O29" s="11"/>
      <c r="P29" s="34"/>
      <c r="Q29" s="11"/>
      <c r="R29" s="29" t="s">
        <v>655</v>
      </c>
      <c r="S29" s="11"/>
      <c r="T29" s="11"/>
      <c r="U29" s="29"/>
      <c r="V29" s="29"/>
      <c r="W29" s="11"/>
      <c r="X29" s="11"/>
      <c r="Y29" s="11"/>
      <c r="Z29" s="11"/>
      <c r="AA29" s="37"/>
      <c r="AB29" s="35"/>
      <c r="AC29" s="11"/>
      <c r="AD29" s="34"/>
    </row>
    <row r="30" spans="1:30" ht="18" x14ac:dyDescent="0.2">
      <c r="B30" s="11"/>
      <c r="C30" s="11"/>
      <c r="D30" s="11"/>
      <c r="E30" s="29"/>
      <c r="F30" s="29"/>
      <c r="G30" s="11"/>
      <c r="H30" s="11"/>
      <c r="I30" s="11"/>
      <c r="J30" s="11"/>
      <c r="K30" s="37"/>
      <c r="L30" s="29"/>
      <c r="M30" s="11"/>
      <c r="N30" s="11"/>
      <c r="O30" s="11"/>
      <c r="P30" s="34"/>
      <c r="Q30" s="11"/>
      <c r="R30" s="29"/>
      <c r="S30" s="11"/>
      <c r="T30" s="11"/>
      <c r="U30" s="29"/>
      <c r="V30" s="29"/>
      <c r="W30" s="11"/>
      <c r="X30" s="11"/>
      <c r="Y30" s="11"/>
      <c r="Z30" s="11"/>
      <c r="AA30" s="37"/>
      <c r="AB30" s="35"/>
      <c r="AC30" s="11"/>
      <c r="AD30" s="34"/>
    </row>
    <row r="31" spans="1:30" ht="16" x14ac:dyDescent="0.2">
      <c r="B31" s="11" t="s">
        <v>471</v>
      </c>
      <c r="C31" s="11"/>
      <c r="D31" s="11"/>
      <c r="E31" s="29"/>
      <c r="F31" s="29"/>
      <c r="G31" s="11"/>
      <c r="H31" s="11" t="s">
        <v>253</v>
      </c>
      <c r="I31" s="11"/>
      <c r="J31" s="11"/>
      <c r="K31" s="37" t="s">
        <v>95</v>
      </c>
      <c r="L31" s="30" t="s">
        <v>58</v>
      </c>
    </row>
    <row r="32" spans="1:30" ht="16" x14ac:dyDescent="0.2">
      <c r="B32" s="11" t="s">
        <v>472</v>
      </c>
      <c r="C32" s="11"/>
      <c r="D32" s="11"/>
      <c r="E32" s="29"/>
      <c r="F32" s="29"/>
      <c r="K32" s="37" t="s">
        <v>95</v>
      </c>
      <c r="L32" s="30" t="s">
        <v>58</v>
      </c>
      <c r="R32" s="81"/>
    </row>
    <row r="33" spans="2:18" ht="18" x14ac:dyDescent="0.2">
      <c r="B33" s="11" t="s">
        <v>473</v>
      </c>
      <c r="C33" s="11"/>
      <c r="D33" s="11"/>
      <c r="E33" s="29"/>
      <c r="F33" s="29"/>
      <c r="R33" s="82"/>
    </row>
  </sheetData>
  <sortState xmlns:xlrd2="http://schemas.microsoft.com/office/spreadsheetml/2017/richdata2" ref="B2:AD14">
    <sortCondition ref="AD2:AD14"/>
  </sortState>
  <phoneticPr fontId="4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L31"/>
  <sheetViews>
    <sheetView zoomScale="138" zoomScaleNormal="85" workbookViewId="0">
      <pane ySplit="1" topLeftCell="A2" activePane="bottomLeft" state="frozen"/>
      <selection pane="bottomLeft" sqref="A1:L31"/>
    </sheetView>
  </sheetViews>
  <sheetFormatPr baseColWidth="10" defaultRowHeight="15" x14ac:dyDescent="0.2"/>
  <cols>
    <col min="3" max="3" width="16.33203125" customWidth="1"/>
    <col min="4" max="4" width="8.6640625" customWidth="1"/>
    <col min="5" max="5" width="67.83203125" customWidth="1"/>
    <col min="6" max="6" width="31" customWidth="1"/>
  </cols>
  <sheetData>
    <row r="1" spans="1:12" x14ac:dyDescent="0.2">
      <c r="A1" t="s">
        <v>8</v>
      </c>
      <c r="C1" t="s">
        <v>1</v>
      </c>
      <c r="D1" t="s">
        <v>2</v>
      </c>
      <c r="E1" t="s">
        <v>3</v>
      </c>
      <c r="F1" t="s">
        <v>41</v>
      </c>
      <c r="G1" t="s">
        <v>4</v>
      </c>
      <c r="H1" t="s">
        <v>7</v>
      </c>
      <c r="I1" t="s">
        <v>5</v>
      </c>
      <c r="J1" t="s">
        <v>13</v>
      </c>
      <c r="K1" t="s">
        <v>6</v>
      </c>
      <c r="L1" t="s">
        <v>43</v>
      </c>
    </row>
    <row r="2" spans="1:12" s="30" customFormat="1" x14ac:dyDescent="0.2">
      <c r="C2" s="30" t="s">
        <v>582</v>
      </c>
      <c r="D2" s="30" t="s">
        <v>664</v>
      </c>
      <c r="G2" s="30" t="s">
        <v>0</v>
      </c>
      <c r="H2" s="30" t="s">
        <v>665</v>
      </c>
      <c r="I2" s="30" t="s">
        <v>666</v>
      </c>
      <c r="J2" s="30" t="s">
        <v>673</v>
      </c>
      <c r="K2" s="30">
        <v>10</v>
      </c>
      <c r="L2" s="30">
        <v>2</v>
      </c>
    </row>
    <row r="3" spans="1:12" x14ac:dyDescent="0.2">
      <c r="A3" t="s">
        <v>428</v>
      </c>
      <c r="C3" t="s">
        <v>428</v>
      </c>
      <c r="D3" t="s">
        <v>428</v>
      </c>
      <c r="E3" t="s">
        <v>461</v>
      </c>
      <c r="G3" t="s">
        <v>0</v>
      </c>
      <c r="H3" t="s">
        <v>37</v>
      </c>
      <c r="I3" t="s">
        <v>35</v>
      </c>
      <c r="K3">
        <v>10</v>
      </c>
    </row>
    <row r="4" spans="1:12" s="30" customFormat="1" x14ac:dyDescent="0.2">
      <c r="A4" s="30" t="s">
        <v>668</v>
      </c>
      <c r="C4" s="30" t="s">
        <v>588</v>
      </c>
      <c r="D4" s="30" t="s">
        <v>669</v>
      </c>
      <c r="E4" s="30" t="s">
        <v>670</v>
      </c>
      <c r="G4" s="30" t="s">
        <v>0</v>
      </c>
      <c r="H4" s="30" t="s">
        <v>665</v>
      </c>
      <c r="I4" s="30" t="s">
        <v>666</v>
      </c>
      <c r="J4" s="30" t="s">
        <v>674</v>
      </c>
      <c r="K4" s="30">
        <v>2</v>
      </c>
      <c r="L4" s="30">
        <v>2</v>
      </c>
    </row>
    <row r="5" spans="1:12" x14ac:dyDescent="0.2">
      <c r="A5" t="s">
        <v>53</v>
      </c>
      <c r="C5" t="s">
        <v>67</v>
      </c>
      <c r="D5" t="s">
        <v>100</v>
      </c>
      <c r="E5" t="s">
        <v>107</v>
      </c>
      <c r="G5" t="s">
        <v>0</v>
      </c>
      <c r="H5" t="s">
        <v>37</v>
      </c>
      <c r="I5" t="s">
        <v>35</v>
      </c>
      <c r="K5">
        <v>2</v>
      </c>
    </row>
    <row r="6" spans="1:12" x14ac:dyDescent="0.2">
      <c r="A6" t="s">
        <v>53</v>
      </c>
      <c r="C6" t="s">
        <v>105</v>
      </c>
      <c r="D6" t="s">
        <v>106</v>
      </c>
      <c r="G6" t="s">
        <v>0</v>
      </c>
      <c r="H6" t="s">
        <v>37</v>
      </c>
      <c r="I6" t="s">
        <v>35</v>
      </c>
      <c r="K6">
        <v>4</v>
      </c>
    </row>
    <row r="7" spans="1:12" x14ac:dyDescent="0.2">
      <c r="A7" t="s">
        <v>53</v>
      </c>
      <c r="C7" t="s">
        <v>68</v>
      </c>
      <c r="D7" t="s">
        <v>132</v>
      </c>
      <c r="E7" t="s">
        <v>131</v>
      </c>
      <c r="G7" t="s">
        <v>0</v>
      </c>
      <c r="H7" t="s">
        <v>37</v>
      </c>
      <c r="I7" t="s">
        <v>35</v>
      </c>
      <c r="K7">
        <v>4</v>
      </c>
    </row>
    <row r="8" spans="1:12" x14ac:dyDescent="0.2">
      <c r="A8" t="s">
        <v>53</v>
      </c>
      <c r="C8" t="s">
        <v>338</v>
      </c>
      <c r="D8" t="s">
        <v>366</v>
      </c>
      <c r="E8" t="s">
        <v>373</v>
      </c>
      <c r="G8" t="s">
        <v>0</v>
      </c>
      <c r="H8" t="s">
        <v>37</v>
      </c>
      <c r="I8" t="s">
        <v>35</v>
      </c>
      <c r="K8">
        <v>4</v>
      </c>
    </row>
    <row r="9" spans="1:12" x14ac:dyDescent="0.2">
      <c r="A9" t="s">
        <v>53</v>
      </c>
      <c r="C9" t="s">
        <v>337</v>
      </c>
      <c r="D9" t="s">
        <v>365</v>
      </c>
      <c r="E9" t="s">
        <v>373</v>
      </c>
      <c r="G9" t="s">
        <v>0</v>
      </c>
      <c r="H9" t="s">
        <v>37</v>
      </c>
      <c r="I9" t="s">
        <v>35</v>
      </c>
      <c r="K9">
        <v>4</v>
      </c>
    </row>
    <row r="10" spans="1:12" x14ac:dyDescent="0.2">
      <c r="A10" t="s">
        <v>64</v>
      </c>
      <c r="C10" t="s">
        <v>104</v>
      </c>
      <c r="D10" t="s">
        <v>474</v>
      </c>
      <c r="E10" t="s">
        <v>475</v>
      </c>
      <c r="G10" t="s">
        <v>0</v>
      </c>
      <c r="H10" t="s">
        <v>37</v>
      </c>
      <c r="I10" t="s">
        <v>35</v>
      </c>
      <c r="K10">
        <v>3</v>
      </c>
    </row>
    <row r="11" spans="1:12" x14ac:dyDescent="0.2">
      <c r="A11" t="s">
        <v>64</v>
      </c>
      <c r="C11" t="s">
        <v>232</v>
      </c>
      <c r="D11" t="s">
        <v>233</v>
      </c>
      <c r="G11" t="s">
        <v>0</v>
      </c>
      <c r="H11" t="s">
        <v>37</v>
      </c>
      <c r="I11" t="s">
        <v>35</v>
      </c>
      <c r="K11">
        <v>3</v>
      </c>
    </row>
    <row r="12" spans="1:12" x14ac:dyDescent="0.2">
      <c r="A12" t="s">
        <v>64</v>
      </c>
      <c r="C12" t="s">
        <v>137</v>
      </c>
      <c r="D12" t="s">
        <v>138</v>
      </c>
      <c r="G12" t="s">
        <v>0</v>
      </c>
      <c r="H12" t="s">
        <v>37</v>
      </c>
      <c r="I12" t="s">
        <v>66</v>
      </c>
      <c r="K12">
        <v>5</v>
      </c>
    </row>
    <row r="13" spans="1:12" x14ac:dyDescent="0.2">
      <c r="A13" t="s">
        <v>64</v>
      </c>
      <c r="C13" t="s">
        <v>71</v>
      </c>
      <c r="D13" t="s">
        <v>450</v>
      </c>
      <c r="E13" t="s">
        <v>452</v>
      </c>
      <c r="G13" t="s">
        <v>0</v>
      </c>
      <c r="H13" t="s">
        <v>37</v>
      </c>
      <c r="I13" t="s">
        <v>35</v>
      </c>
      <c r="K13">
        <v>8</v>
      </c>
    </row>
    <row r="14" spans="1:12" x14ac:dyDescent="0.2">
      <c r="A14" t="s">
        <v>64</v>
      </c>
      <c r="C14" t="s">
        <v>237</v>
      </c>
      <c r="D14" t="s">
        <v>238</v>
      </c>
      <c r="E14" t="s">
        <v>452</v>
      </c>
      <c r="G14" t="s">
        <v>0</v>
      </c>
      <c r="H14" t="s">
        <v>37</v>
      </c>
      <c r="I14" t="s">
        <v>35</v>
      </c>
      <c r="K14">
        <v>4</v>
      </c>
    </row>
    <row r="15" spans="1:12" x14ac:dyDescent="0.2">
      <c r="A15" t="s">
        <v>64</v>
      </c>
      <c r="C15" t="s">
        <v>257</v>
      </c>
      <c r="D15" t="s">
        <v>262</v>
      </c>
      <c r="E15" t="s">
        <v>452</v>
      </c>
      <c r="G15" t="s">
        <v>0</v>
      </c>
      <c r="H15" t="s">
        <v>37</v>
      </c>
      <c r="I15" t="s">
        <v>35</v>
      </c>
      <c r="K15">
        <v>3</v>
      </c>
    </row>
    <row r="16" spans="1:12" x14ac:dyDescent="0.2">
      <c r="A16" t="s">
        <v>463</v>
      </c>
      <c r="C16" t="s">
        <v>72</v>
      </c>
      <c r="D16" t="s">
        <v>128</v>
      </c>
      <c r="E16" t="s">
        <v>453</v>
      </c>
      <c r="G16" t="s">
        <v>0</v>
      </c>
      <c r="H16" t="s">
        <v>37</v>
      </c>
      <c r="I16" t="s">
        <v>35</v>
      </c>
      <c r="K16">
        <v>5</v>
      </c>
    </row>
    <row r="17" spans="1:11" x14ac:dyDescent="0.2">
      <c r="A17" t="s">
        <v>463</v>
      </c>
      <c r="C17" t="s">
        <v>73</v>
      </c>
      <c r="D17" t="s">
        <v>119</v>
      </c>
      <c r="E17" t="s">
        <v>453</v>
      </c>
      <c r="G17" t="s">
        <v>0</v>
      </c>
      <c r="H17" t="s">
        <v>37</v>
      </c>
      <c r="I17" t="s">
        <v>35</v>
      </c>
      <c r="K17">
        <v>6</v>
      </c>
    </row>
    <row r="18" spans="1:11" x14ac:dyDescent="0.2">
      <c r="A18" t="s">
        <v>463</v>
      </c>
      <c r="C18" t="s">
        <v>74</v>
      </c>
      <c r="D18" t="s">
        <v>102</v>
      </c>
      <c r="E18" t="s">
        <v>453</v>
      </c>
      <c r="G18" t="s">
        <v>0</v>
      </c>
      <c r="H18" t="s">
        <v>37</v>
      </c>
      <c r="I18" t="s">
        <v>35</v>
      </c>
      <c r="K18">
        <v>8</v>
      </c>
    </row>
    <row r="19" spans="1:11" x14ac:dyDescent="0.2">
      <c r="A19" t="s">
        <v>463</v>
      </c>
      <c r="C19" t="s">
        <v>117</v>
      </c>
      <c r="D19" t="s">
        <v>103</v>
      </c>
      <c r="E19" t="s">
        <v>453</v>
      </c>
      <c r="G19" t="s">
        <v>0</v>
      </c>
      <c r="H19" t="s">
        <v>37</v>
      </c>
      <c r="I19" t="s">
        <v>35</v>
      </c>
      <c r="K19">
        <v>5</v>
      </c>
    </row>
    <row r="20" spans="1:11" x14ac:dyDescent="0.2">
      <c r="A20" t="s">
        <v>63</v>
      </c>
      <c r="C20" t="s">
        <v>57</v>
      </c>
      <c r="D20" t="s">
        <v>315</v>
      </c>
      <c r="G20" t="s">
        <v>0</v>
      </c>
      <c r="H20" t="s">
        <v>37</v>
      </c>
      <c r="I20" t="s">
        <v>35</v>
      </c>
      <c r="K20">
        <v>2</v>
      </c>
    </row>
    <row r="21" spans="1:11" x14ac:dyDescent="0.2">
      <c r="A21" t="s">
        <v>63</v>
      </c>
      <c r="C21" t="s">
        <v>69</v>
      </c>
      <c r="D21" t="s">
        <v>120</v>
      </c>
      <c r="G21" t="s">
        <v>0</v>
      </c>
      <c r="H21" t="s">
        <v>37</v>
      </c>
      <c r="I21" t="s">
        <v>35</v>
      </c>
      <c r="K21">
        <v>4</v>
      </c>
    </row>
    <row r="22" spans="1:11" x14ac:dyDescent="0.2">
      <c r="A22" t="s">
        <v>63</v>
      </c>
      <c r="C22" t="s">
        <v>70</v>
      </c>
      <c r="D22" t="s">
        <v>101</v>
      </c>
      <c r="G22" t="s">
        <v>0</v>
      </c>
      <c r="H22" t="s">
        <v>37</v>
      </c>
      <c r="I22" t="s">
        <v>35</v>
      </c>
      <c r="K22">
        <v>4</v>
      </c>
    </row>
    <row r="23" spans="1:11" x14ac:dyDescent="0.2">
      <c r="A23" t="s">
        <v>63</v>
      </c>
      <c r="C23" t="s">
        <v>396</v>
      </c>
      <c r="D23" t="s">
        <v>406</v>
      </c>
      <c r="G23" t="s">
        <v>0</v>
      </c>
      <c r="H23" t="s">
        <v>37</v>
      </c>
      <c r="I23" t="s">
        <v>35</v>
      </c>
      <c r="K23">
        <v>3</v>
      </c>
    </row>
    <row r="24" spans="1:11" s="30" customFormat="1" x14ac:dyDescent="0.2">
      <c r="A24" t="s">
        <v>63</v>
      </c>
      <c r="C24" s="30" t="s">
        <v>591</v>
      </c>
      <c r="D24" s="30" t="s">
        <v>671</v>
      </c>
      <c r="G24" t="s">
        <v>0</v>
      </c>
      <c r="H24" t="s">
        <v>37</v>
      </c>
      <c r="I24" t="s">
        <v>35</v>
      </c>
      <c r="K24" s="30">
        <v>3</v>
      </c>
    </row>
    <row r="25" spans="1:11" s="30" customFormat="1" x14ac:dyDescent="0.2">
      <c r="A25" t="s">
        <v>63</v>
      </c>
      <c r="C25" s="30" t="s">
        <v>667</v>
      </c>
      <c r="D25" s="30" t="s">
        <v>672</v>
      </c>
      <c r="G25" t="s">
        <v>0</v>
      </c>
      <c r="H25" t="s">
        <v>37</v>
      </c>
      <c r="I25" t="s">
        <v>35</v>
      </c>
      <c r="K25" s="30">
        <v>2</v>
      </c>
    </row>
    <row r="26" spans="1:11" x14ac:dyDescent="0.2">
      <c r="A26" t="s">
        <v>63</v>
      </c>
      <c r="C26" t="s">
        <v>244</v>
      </c>
      <c r="D26" t="s">
        <v>310</v>
      </c>
      <c r="G26" t="s">
        <v>0</v>
      </c>
      <c r="H26" t="s">
        <v>37</v>
      </c>
      <c r="I26" t="s">
        <v>35</v>
      </c>
      <c r="K26">
        <v>4</v>
      </c>
    </row>
    <row r="27" spans="1:11" x14ac:dyDescent="0.2">
      <c r="A27" t="s">
        <v>63</v>
      </c>
      <c r="C27" t="s">
        <v>397</v>
      </c>
      <c r="D27" t="s">
        <v>398</v>
      </c>
      <c r="G27" t="s">
        <v>0</v>
      </c>
      <c r="H27" t="s">
        <v>37</v>
      </c>
      <c r="I27" t="s">
        <v>35</v>
      </c>
      <c r="K27">
        <v>5</v>
      </c>
    </row>
    <row r="28" spans="1:11" x14ac:dyDescent="0.2">
      <c r="A28" t="s">
        <v>63</v>
      </c>
      <c r="C28" t="s">
        <v>316</v>
      </c>
      <c r="D28" t="s">
        <v>317</v>
      </c>
      <c r="G28" t="s">
        <v>0</v>
      </c>
      <c r="H28" t="s">
        <v>37</v>
      </c>
      <c r="I28" t="s">
        <v>35</v>
      </c>
      <c r="K28">
        <v>6</v>
      </c>
    </row>
    <row r="29" spans="1:11" x14ac:dyDescent="0.2">
      <c r="A29" t="s">
        <v>462</v>
      </c>
      <c r="C29" t="s">
        <v>327</v>
      </c>
      <c r="D29" t="s">
        <v>330</v>
      </c>
      <c r="E29" t="s">
        <v>331</v>
      </c>
      <c r="G29" t="s">
        <v>0</v>
      </c>
      <c r="H29" t="s">
        <v>37</v>
      </c>
      <c r="I29" t="s">
        <v>35</v>
      </c>
      <c r="K29">
        <v>4</v>
      </c>
    </row>
    <row r="30" spans="1:11" x14ac:dyDescent="0.2">
      <c r="A30" t="s">
        <v>462</v>
      </c>
      <c r="C30" t="s">
        <v>384</v>
      </c>
      <c r="D30" t="s">
        <v>385</v>
      </c>
      <c r="E30" t="s">
        <v>389</v>
      </c>
      <c r="G30" t="s">
        <v>0</v>
      </c>
      <c r="H30" t="s">
        <v>37</v>
      </c>
      <c r="I30" t="s">
        <v>35</v>
      </c>
      <c r="K30">
        <v>4</v>
      </c>
    </row>
    <row r="31" spans="1:11" x14ac:dyDescent="0.2">
      <c r="C31" t="s">
        <v>523</v>
      </c>
      <c r="D31" t="s">
        <v>524</v>
      </c>
      <c r="E31" t="s">
        <v>525</v>
      </c>
    </row>
  </sheetData>
  <phoneticPr fontId="4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01"/>
  <sheetViews>
    <sheetView zoomScale="75" zoomScaleNormal="85" workbookViewId="0">
      <pane ySplit="1" topLeftCell="A54" activePane="bottomLeft" state="frozen"/>
      <selection pane="bottomLeft" sqref="A1:E87"/>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15</v>
      </c>
      <c r="D1" s="1" t="s">
        <v>44</v>
      </c>
      <c r="E1" s="1" t="s">
        <v>11</v>
      </c>
      <c r="F1" s="1" t="s">
        <v>42</v>
      </c>
    </row>
    <row r="2" spans="1:6" s="1" customFormat="1" x14ac:dyDescent="0.2">
      <c r="A2" s="90" t="s">
        <v>582</v>
      </c>
    </row>
    <row r="3" spans="1:6" ht="16" x14ac:dyDescent="0.2">
      <c r="A3" t="s">
        <v>428</v>
      </c>
      <c r="B3" t="s">
        <v>254</v>
      </c>
      <c r="C3" s="36" t="s">
        <v>430</v>
      </c>
      <c r="D3" s="6"/>
      <c r="E3" s="36" t="s">
        <v>429</v>
      </c>
    </row>
    <row r="4" spans="1:6" ht="16" x14ac:dyDescent="0.2">
      <c r="A4" t="s">
        <v>428</v>
      </c>
      <c r="B4" t="s">
        <v>382</v>
      </c>
      <c r="C4" s="36" t="s">
        <v>432</v>
      </c>
      <c r="D4" s="6"/>
      <c r="E4" s="36"/>
    </row>
    <row r="5" spans="1:6" ht="16" x14ac:dyDescent="0.2">
      <c r="A5" t="s">
        <v>428</v>
      </c>
      <c r="B5" t="s">
        <v>383</v>
      </c>
      <c r="C5" s="36" t="s">
        <v>431</v>
      </c>
      <c r="D5" s="6"/>
      <c r="E5" s="36"/>
    </row>
    <row r="6" spans="1:6" ht="16" x14ac:dyDescent="0.2">
      <c r="A6" t="s">
        <v>428</v>
      </c>
      <c r="B6" t="s">
        <v>387</v>
      </c>
      <c r="C6" s="36" t="s">
        <v>433</v>
      </c>
      <c r="D6" s="6"/>
      <c r="E6" s="36"/>
    </row>
    <row r="7" spans="1:6" ht="16" x14ac:dyDescent="0.2">
      <c r="A7" t="s">
        <v>428</v>
      </c>
      <c r="B7" t="s">
        <v>323</v>
      </c>
      <c r="C7" s="36" t="s">
        <v>460</v>
      </c>
      <c r="D7" s="6"/>
      <c r="E7" s="36"/>
    </row>
    <row r="8" spans="1:6" s="27" customFormat="1" ht="21" x14ac:dyDescent="0.25">
      <c r="A8" s="27" t="s">
        <v>161</v>
      </c>
    </row>
    <row r="9" spans="1:6" s="27" customFormat="1" ht="21" x14ac:dyDescent="0.25">
      <c r="A9" s="27" t="s">
        <v>326</v>
      </c>
    </row>
    <row r="10" spans="1:6" s="28" customFormat="1" ht="21" x14ac:dyDescent="0.25">
      <c r="A10" s="28" t="s">
        <v>521</v>
      </c>
      <c r="B10" s="28" t="s">
        <v>424</v>
      </c>
      <c r="C10" s="28" t="s">
        <v>526</v>
      </c>
    </row>
    <row r="11" spans="1:6" s="28" customFormat="1" ht="21" x14ac:dyDescent="0.25">
      <c r="A11" s="28" t="s">
        <v>521</v>
      </c>
      <c r="B11" s="28" t="s">
        <v>538</v>
      </c>
      <c r="C11" s="40" t="s">
        <v>540</v>
      </c>
      <c r="E11" s="40" t="s">
        <v>541</v>
      </c>
    </row>
    <row r="12" spans="1:6" s="28" customFormat="1" ht="21" x14ac:dyDescent="0.25"/>
    <row r="13" spans="1:6" s="28" customFormat="1" ht="21" x14ac:dyDescent="0.25"/>
    <row r="14" spans="1:6" s="28" customFormat="1" ht="21" x14ac:dyDescent="0.25">
      <c r="A14" s="28" t="s">
        <v>451</v>
      </c>
    </row>
    <row r="15" spans="1:6" s="28" customFormat="1" ht="21" x14ac:dyDescent="0.25">
      <c r="A15" s="28" t="s">
        <v>161</v>
      </c>
    </row>
    <row r="16" spans="1:6" ht="16" x14ac:dyDescent="0.2">
      <c r="A16" t="s">
        <v>327</v>
      </c>
      <c r="B16" s="24" t="s">
        <v>328</v>
      </c>
      <c r="C16" s="24" t="s">
        <v>332</v>
      </c>
      <c r="D16" s="6"/>
      <c r="E16" s="24" t="s">
        <v>333</v>
      </c>
    </row>
    <row r="17" spans="1:5" ht="16" x14ac:dyDescent="0.2">
      <c r="A17" t="s">
        <v>327</v>
      </c>
      <c r="B17" s="24" t="s">
        <v>329</v>
      </c>
      <c r="C17" s="33" t="s">
        <v>374</v>
      </c>
      <c r="D17" s="6"/>
      <c r="E17" s="24" t="s">
        <v>334</v>
      </c>
    </row>
    <row r="18" spans="1:5" ht="16" x14ac:dyDescent="0.2">
      <c r="A18" t="s">
        <v>384</v>
      </c>
      <c r="B18" s="36" t="s">
        <v>61</v>
      </c>
      <c r="C18" s="36" t="s">
        <v>390</v>
      </c>
      <c r="D18" s="6"/>
      <c r="E18" s="36" t="s">
        <v>391</v>
      </c>
    </row>
    <row r="19" spans="1:5" ht="16" x14ac:dyDescent="0.2">
      <c r="A19" t="s">
        <v>384</v>
      </c>
      <c r="B19" s="36" t="s">
        <v>60</v>
      </c>
      <c r="C19" s="36" t="s">
        <v>392</v>
      </c>
      <c r="D19" s="6"/>
      <c r="E19" s="36" t="s">
        <v>393</v>
      </c>
    </row>
    <row r="20" spans="1:5" ht="16" x14ac:dyDescent="0.2">
      <c r="A20" t="s">
        <v>384</v>
      </c>
      <c r="B20" s="36" t="s">
        <v>394</v>
      </c>
      <c r="C20" s="36" t="s">
        <v>423</v>
      </c>
      <c r="D20" s="6"/>
      <c r="E20" s="36" t="s">
        <v>436</v>
      </c>
    </row>
    <row r="21" spans="1:5" ht="16" x14ac:dyDescent="0.2">
      <c r="B21" s="36"/>
      <c r="C21" s="33"/>
      <c r="D21" s="6"/>
    </row>
    <row r="22" spans="1:5" s="28" customFormat="1" ht="21" x14ac:dyDescent="0.25">
      <c r="A22" s="28" t="s">
        <v>324</v>
      </c>
    </row>
    <row r="23" spans="1:5" ht="16" x14ac:dyDescent="0.2">
      <c r="A23" t="s">
        <v>68</v>
      </c>
      <c r="B23" s="16" t="s">
        <v>93</v>
      </c>
      <c r="C23" s="16" t="s">
        <v>121</v>
      </c>
      <c r="D23" s="6"/>
      <c r="E23" s="8"/>
    </row>
    <row r="24" spans="1:5" ht="16" x14ac:dyDescent="0.2">
      <c r="A24" t="s">
        <v>68</v>
      </c>
      <c r="B24" s="17" t="s">
        <v>60</v>
      </c>
      <c r="C24" s="16" t="s">
        <v>122</v>
      </c>
      <c r="D24" s="6"/>
      <c r="E24" s="8"/>
    </row>
    <row r="25" spans="1:5" ht="16" x14ac:dyDescent="0.2">
      <c r="A25" t="s">
        <v>105</v>
      </c>
      <c r="B25" s="17" t="s">
        <v>134</v>
      </c>
      <c r="C25" s="17" t="s">
        <v>135</v>
      </c>
      <c r="D25" s="6"/>
      <c r="E25" s="24" t="s">
        <v>320</v>
      </c>
    </row>
    <row r="26" spans="1:5" ht="16" x14ac:dyDescent="0.2">
      <c r="A26" t="s">
        <v>105</v>
      </c>
      <c r="B26" s="17" t="s">
        <v>58</v>
      </c>
      <c r="C26" s="17" t="s">
        <v>136</v>
      </c>
      <c r="D26" s="6"/>
      <c r="E26" s="8"/>
    </row>
    <row r="27" spans="1:5" ht="16" x14ac:dyDescent="0.2">
      <c r="A27" t="s">
        <v>67</v>
      </c>
      <c r="B27" s="17" t="s">
        <v>124</v>
      </c>
      <c r="C27" s="17" t="s">
        <v>140</v>
      </c>
      <c r="D27" s="6"/>
      <c r="E27" s="5"/>
    </row>
    <row r="28" spans="1:5" ht="16" x14ac:dyDescent="0.2">
      <c r="A28" t="s">
        <v>67</v>
      </c>
      <c r="B28" s="17" t="s">
        <v>123</v>
      </c>
      <c r="C28" s="17" t="s">
        <v>127</v>
      </c>
      <c r="D28" s="6"/>
      <c r="E28" s="5"/>
    </row>
    <row r="29" spans="1:5" ht="16" x14ac:dyDescent="0.2">
      <c r="A29" t="s">
        <v>67</v>
      </c>
      <c r="B29" s="17" t="s">
        <v>126</v>
      </c>
      <c r="C29" s="17" t="s">
        <v>139</v>
      </c>
      <c r="D29" s="6"/>
      <c r="E29" s="5"/>
    </row>
    <row r="30" spans="1:5" ht="16" x14ac:dyDescent="0.2">
      <c r="A30" s="30" t="s">
        <v>338</v>
      </c>
      <c r="B30" s="33" t="s">
        <v>62</v>
      </c>
      <c r="C30" s="33" t="s">
        <v>234</v>
      </c>
      <c r="D30" s="6"/>
      <c r="E30" s="5"/>
    </row>
    <row r="31" spans="1:5" ht="16" x14ac:dyDescent="0.2">
      <c r="A31" s="30" t="s">
        <v>338</v>
      </c>
      <c r="B31" s="33" t="s">
        <v>250</v>
      </c>
      <c r="C31" s="33" t="s">
        <v>235</v>
      </c>
      <c r="D31" s="6"/>
      <c r="E31" s="5"/>
    </row>
    <row r="32" spans="1:5" ht="16" x14ac:dyDescent="0.2">
      <c r="A32" s="30" t="s">
        <v>337</v>
      </c>
      <c r="B32" s="17">
        <v>0.5</v>
      </c>
      <c r="C32" s="14" t="s">
        <v>114</v>
      </c>
      <c r="D32" s="6"/>
      <c r="E32" s="5"/>
    </row>
    <row r="33" spans="1:5" ht="16" x14ac:dyDescent="0.2">
      <c r="A33" s="30" t="s">
        <v>337</v>
      </c>
      <c r="B33" s="17">
        <v>1</v>
      </c>
      <c r="C33" s="14" t="s">
        <v>115</v>
      </c>
      <c r="D33" s="6"/>
      <c r="E33" s="5"/>
    </row>
    <row r="34" spans="1:5" ht="16" x14ac:dyDescent="0.2">
      <c r="A34" s="30" t="s">
        <v>337</v>
      </c>
      <c r="B34" s="17">
        <v>2</v>
      </c>
      <c r="C34" s="14" t="s">
        <v>113</v>
      </c>
      <c r="D34" s="6"/>
      <c r="E34" s="5"/>
    </row>
    <row r="35" spans="1:5" s="28" customFormat="1" ht="21" x14ac:dyDescent="0.25">
      <c r="A35" s="28" t="s">
        <v>161</v>
      </c>
    </row>
    <row r="36" spans="1:5" s="28" customFormat="1" ht="21" x14ac:dyDescent="0.25">
      <c r="A36" s="28" t="s">
        <v>161</v>
      </c>
    </row>
    <row r="37" spans="1:5" s="28" customFormat="1" ht="21" x14ac:dyDescent="0.25">
      <c r="A37" s="28" t="s">
        <v>325</v>
      </c>
    </row>
    <row r="38" spans="1:5" ht="16" x14ac:dyDescent="0.2">
      <c r="A38" t="s">
        <v>104</v>
      </c>
      <c r="B38" s="37" t="s">
        <v>401</v>
      </c>
      <c r="C38" s="37" t="s">
        <v>497</v>
      </c>
      <c r="D38" s="6"/>
      <c r="E38" s="5"/>
    </row>
    <row r="39" spans="1:5" ht="16" x14ac:dyDescent="0.2">
      <c r="A39" t="s">
        <v>104</v>
      </c>
      <c r="B39" s="37" t="s">
        <v>498</v>
      </c>
      <c r="C39" s="14" t="s">
        <v>115</v>
      </c>
      <c r="D39" s="6"/>
      <c r="E39" s="5"/>
    </row>
    <row r="40" spans="1:5" ht="16" x14ac:dyDescent="0.2">
      <c r="A40" t="s">
        <v>104</v>
      </c>
      <c r="B40" s="37" t="s">
        <v>404</v>
      </c>
      <c r="C40" s="14" t="s">
        <v>113</v>
      </c>
      <c r="D40" s="6"/>
      <c r="E40" s="5"/>
    </row>
    <row r="41" spans="1:5" ht="16" x14ac:dyDescent="0.2">
      <c r="A41" t="s">
        <v>232</v>
      </c>
      <c r="B41" s="18" t="s">
        <v>250</v>
      </c>
      <c r="C41" s="18" t="s">
        <v>235</v>
      </c>
      <c r="D41" s="6"/>
      <c r="E41" s="5"/>
    </row>
    <row r="42" spans="1:5" ht="16" x14ac:dyDescent="0.2">
      <c r="A42" t="s">
        <v>232</v>
      </c>
      <c r="B42" s="18" t="s">
        <v>62</v>
      </c>
      <c r="C42" s="18" t="s">
        <v>234</v>
      </c>
      <c r="D42" s="6"/>
      <c r="E42" s="5"/>
    </row>
    <row r="43" spans="1:5" ht="16" x14ac:dyDescent="0.2">
      <c r="A43" t="s">
        <v>137</v>
      </c>
      <c r="B43" s="10" t="s">
        <v>58</v>
      </c>
      <c r="C43" s="17" t="s">
        <v>116</v>
      </c>
      <c r="D43" s="6"/>
      <c r="E43" s="6"/>
    </row>
    <row r="44" spans="1:5" ht="16" x14ac:dyDescent="0.2">
      <c r="A44" t="s">
        <v>137</v>
      </c>
      <c r="B44" s="19" t="s">
        <v>284</v>
      </c>
      <c r="C44" s="19" t="s">
        <v>287</v>
      </c>
      <c r="D44" s="6"/>
      <c r="E44" s="6"/>
    </row>
    <row r="45" spans="1:5" ht="16" x14ac:dyDescent="0.2">
      <c r="A45" t="s">
        <v>137</v>
      </c>
      <c r="B45" s="19" t="s">
        <v>286</v>
      </c>
      <c r="C45" s="19" t="s">
        <v>288</v>
      </c>
      <c r="D45" s="6"/>
      <c r="E45" s="6"/>
    </row>
    <row r="46" spans="1:5" ht="16" x14ac:dyDescent="0.2">
      <c r="A46" t="s">
        <v>71</v>
      </c>
      <c r="B46" s="36" t="s">
        <v>269</v>
      </c>
      <c r="C46" s="19" t="s">
        <v>270</v>
      </c>
      <c r="D46" s="6"/>
    </row>
    <row r="47" spans="1:5" ht="16" x14ac:dyDescent="0.2">
      <c r="A47" t="s">
        <v>71</v>
      </c>
      <c r="B47" s="36" t="s">
        <v>236</v>
      </c>
      <c r="C47" s="36" t="s">
        <v>417</v>
      </c>
      <c r="D47" s="6"/>
    </row>
    <row r="48" spans="1:5" ht="16" x14ac:dyDescent="0.2">
      <c r="A48" t="s">
        <v>71</v>
      </c>
      <c r="B48" s="36" t="s">
        <v>416</v>
      </c>
      <c r="C48" s="36" t="s">
        <v>418</v>
      </c>
      <c r="D48" s="6"/>
    </row>
    <row r="49" spans="1:5" ht="16" x14ac:dyDescent="0.2">
      <c r="A49" t="s">
        <v>71</v>
      </c>
      <c r="B49" s="36" t="s">
        <v>419</v>
      </c>
      <c r="C49" s="36" t="s">
        <v>420</v>
      </c>
      <c r="D49" s="6"/>
    </row>
    <row r="50" spans="1:5" ht="16" x14ac:dyDescent="0.2">
      <c r="A50" t="s">
        <v>237</v>
      </c>
      <c r="B50" s="18" t="s">
        <v>236</v>
      </c>
      <c r="C50" s="18" t="s">
        <v>239</v>
      </c>
      <c r="D50" s="6"/>
    </row>
    <row r="51" spans="1:5" ht="16" x14ac:dyDescent="0.2">
      <c r="A51" t="s">
        <v>237</v>
      </c>
      <c r="B51" s="18" t="s">
        <v>58</v>
      </c>
      <c r="C51" s="18" t="s">
        <v>240</v>
      </c>
      <c r="D51" s="6"/>
    </row>
    <row r="52" spans="1:5" ht="16" x14ac:dyDescent="0.2">
      <c r="A52" t="s">
        <v>257</v>
      </c>
      <c r="B52" s="18" t="s">
        <v>59</v>
      </c>
      <c r="C52" s="18" t="s">
        <v>264</v>
      </c>
      <c r="D52" s="6"/>
    </row>
    <row r="53" spans="1:5" ht="16" x14ac:dyDescent="0.2">
      <c r="A53" t="s">
        <v>257</v>
      </c>
      <c r="B53" s="19" t="s">
        <v>242</v>
      </c>
      <c r="C53" s="18" t="s">
        <v>265</v>
      </c>
      <c r="D53" s="6"/>
    </row>
    <row r="54" spans="1:5" ht="16" x14ac:dyDescent="0.2">
      <c r="A54" t="s">
        <v>257</v>
      </c>
      <c r="B54" s="19" t="s">
        <v>263</v>
      </c>
      <c r="C54" s="31" t="s">
        <v>336</v>
      </c>
      <c r="D54" s="6"/>
    </row>
    <row r="55" spans="1:5" x14ac:dyDescent="0.2">
      <c r="A55" t="s">
        <v>161</v>
      </c>
    </row>
    <row r="56" spans="1:5" ht="16" x14ac:dyDescent="0.2">
      <c r="A56" t="s">
        <v>72</v>
      </c>
      <c r="B56" s="10" t="s">
        <v>97</v>
      </c>
      <c r="C56" s="17" t="s">
        <v>129</v>
      </c>
      <c r="D56" s="6"/>
      <c r="E56" s="5"/>
    </row>
    <row r="57" spans="1:5" ht="16" x14ac:dyDescent="0.2">
      <c r="A57" t="s">
        <v>72</v>
      </c>
      <c r="B57" s="10" t="s">
        <v>98</v>
      </c>
      <c r="C57" s="17" t="s">
        <v>130</v>
      </c>
      <c r="D57" s="6"/>
      <c r="E57" s="5"/>
    </row>
    <row r="58" spans="1:5" ht="16" x14ac:dyDescent="0.2">
      <c r="A58" t="s">
        <v>72</v>
      </c>
      <c r="B58" s="10" t="s">
        <v>99</v>
      </c>
      <c r="C58" s="15" t="s">
        <v>118</v>
      </c>
      <c r="D58" s="6"/>
      <c r="E58" s="5"/>
    </row>
    <row r="59" spans="1:5" ht="16" x14ac:dyDescent="0.2">
      <c r="A59" t="s">
        <v>73</v>
      </c>
      <c r="B59" s="10" t="s">
        <v>61</v>
      </c>
      <c r="C59" s="10" t="s">
        <v>108</v>
      </c>
      <c r="D59" s="6"/>
      <c r="E59" s="5"/>
    </row>
    <row r="60" spans="1:5" ht="16" x14ac:dyDescent="0.2">
      <c r="A60" t="s">
        <v>73</v>
      </c>
      <c r="B60" s="10" t="s">
        <v>60</v>
      </c>
      <c r="C60" s="10" t="s">
        <v>111</v>
      </c>
      <c r="D60" s="6"/>
      <c r="E60" s="5"/>
    </row>
    <row r="61" spans="1:5" ht="16" x14ac:dyDescent="0.2">
      <c r="A61" t="s">
        <v>74</v>
      </c>
      <c r="B61" s="10" t="s">
        <v>61</v>
      </c>
      <c r="C61" s="10" t="s">
        <v>109</v>
      </c>
      <c r="D61" s="6"/>
      <c r="E61" s="5"/>
    </row>
    <row r="62" spans="1:5" ht="16" x14ac:dyDescent="0.2">
      <c r="A62" t="s">
        <v>74</v>
      </c>
      <c r="B62" s="10" t="s">
        <v>60</v>
      </c>
      <c r="C62" s="10" t="s">
        <v>110</v>
      </c>
      <c r="D62" s="6"/>
      <c r="E62" s="6"/>
    </row>
    <row r="63" spans="1:5" ht="18" x14ac:dyDescent="0.2">
      <c r="A63" t="s">
        <v>117</v>
      </c>
      <c r="B63" s="12" t="s">
        <v>258</v>
      </c>
      <c r="C63" s="18" t="s">
        <v>266</v>
      </c>
      <c r="D63" s="6"/>
      <c r="E63" s="12"/>
    </row>
    <row r="64" spans="1:5" ht="18" x14ac:dyDescent="0.2">
      <c r="A64" t="s">
        <v>117</v>
      </c>
      <c r="B64" s="12" t="s">
        <v>259</v>
      </c>
      <c r="C64" s="18" t="s">
        <v>267</v>
      </c>
      <c r="D64" s="6"/>
    </row>
    <row r="65" spans="1:5" ht="18" x14ac:dyDescent="0.2">
      <c r="A65" t="s">
        <v>117</v>
      </c>
      <c r="B65" s="12" t="s">
        <v>261</v>
      </c>
      <c r="C65" s="18" t="s">
        <v>268</v>
      </c>
      <c r="D65" s="6"/>
      <c r="E65" s="12"/>
    </row>
    <row r="66" spans="1:5" ht="16" x14ac:dyDescent="0.2">
      <c r="A66" t="s">
        <v>117</v>
      </c>
      <c r="B66" s="19" t="s">
        <v>260</v>
      </c>
      <c r="C66" s="19" t="s">
        <v>283</v>
      </c>
      <c r="D66" s="6"/>
    </row>
    <row r="67" spans="1:5" s="28" customFormat="1" ht="21" x14ac:dyDescent="0.25">
      <c r="A67" s="28" t="s">
        <v>161</v>
      </c>
    </row>
    <row r="68" spans="1:5" s="28" customFormat="1" ht="21" x14ac:dyDescent="0.25">
      <c r="A68" s="28" t="s">
        <v>680</v>
      </c>
    </row>
    <row r="69" spans="1:5" ht="16" x14ac:dyDescent="0.2">
      <c r="A69" t="s">
        <v>69</v>
      </c>
      <c r="B69" s="10" t="s">
        <v>59</v>
      </c>
      <c r="C69" s="36" t="s">
        <v>395</v>
      </c>
      <c r="D69" s="6"/>
      <c r="E69" s="5"/>
    </row>
    <row r="70" spans="1:5" ht="16" x14ac:dyDescent="0.2">
      <c r="A70" t="s">
        <v>69</v>
      </c>
      <c r="B70" s="10" t="s">
        <v>96</v>
      </c>
      <c r="C70" s="18" t="s">
        <v>241</v>
      </c>
      <c r="D70" s="6"/>
      <c r="E70" s="5"/>
    </row>
    <row r="71" spans="1:5" ht="16" x14ac:dyDescent="0.2">
      <c r="A71" t="s">
        <v>244</v>
      </c>
      <c r="B71" s="91" t="s">
        <v>59</v>
      </c>
      <c r="C71" s="91" t="s">
        <v>677</v>
      </c>
      <c r="D71" s="6"/>
      <c r="E71" s="5"/>
    </row>
    <row r="72" spans="1:5" ht="16" x14ac:dyDescent="0.2">
      <c r="A72" t="s">
        <v>244</v>
      </c>
      <c r="B72" s="91" t="s">
        <v>404</v>
      </c>
      <c r="C72" s="91" t="s">
        <v>678</v>
      </c>
      <c r="D72" s="6"/>
      <c r="E72" s="5"/>
    </row>
    <row r="73" spans="1:5" ht="16" x14ac:dyDescent="0.2">
      <c r="A73" t="s">
        <v>244</v>
      </c>
      <c r="B73" s="91" t="s">
        <v>401</v>
      </c>
      <c r="C73" s="91" t="s">
        <v>679</v>
      </c>
      <c r="D73" s="6"/>
      <c r="E73" s="5"/>
    </row>
    <row r="74" spans="1:5" ht="16" x14ac:dyDescent="0.2">
      <c r="A74" t="s">
        <v>397</v>
      </c>
      <c r="B74" s="91" t="s">
        <v>59</v>
      </c>
      <c r="C74" s="18" t="s">
        <v>242</v>
      </c>
      <c r="D74" s="6"/>
      <c r="E74" s="36" t="s">
        <v>399</v>
      </c>
    </row>
    <row r="75" spans="1:5" ht="16" x14ac:dyDescent="0.2">
      <c r="A75" t="s">
        <v>397</v>
      </c>
      <c r="B75" s="18" t="s">
        <v>59</v>
      </c>
      <c r="C75" s="18" t="s">
        <v>59</v>
      </c>
      <c r="D75" s="6"/>
      <c r="E75" s="36"/>
    </row>
    <row r="76" spans="1:5" ht="16" x14ac:dyDescent="0.2">
      <c r="A76" t="s">
        <v>70</v>
      </c>
      <c r="B76" s="14" t="s">
        <v>59</v>
      </c>
      <c r="C76" s="21" t="s">
        <v>300</v>
      </c>
      <c r="D76" s="6"/>
      <c r="E76" s="6"/>
    </row>
    <row r="77" spans="1:5" ht="16" x14ac:dyDescent="0.2">
      <c r="A77" t="s">
        <v>70</v>
      </c>
      <c r="B77" s="10" t="s">
        <v>56</v>
      </c>
      <c r="C77" s="17" t="s">
        <v>142</v>
      </c>
      <c r="D77" s="6"/>
      <c r="E77" s="6"/>
    </row>
    <row r="78" spans="1:5" ht="16" x14ac:dyDescent="0.2">
      <c r="A78" t="s">
        <v>70</v>
      </c>
      <c r="B78" s="10" t="s">
        <v>55</v>
      </c>
      <c r="C78" s="17" t="s">
        <v>143</v>
      </c>
      <c r="D78" s="6"/>
      <c r="E78" s="6"/>
    </row>
    <row r="79" spans="1:5" s="30" customFormat="1" ht="16" x14ac:dyDescent="0.2">
      <c r="A79" s="30" t="s">
        <v>396</v>
      </c>
      <c r="B79" s="13" t="s">
        <v>401</v>
      </c>
      <c r="C79" s="13" t="s">
        <v>405</v>
      </c>
      <c r="D79" s="13"/>
      <c r="E79" s="13"/>
    </row>
    <row r="80" spans="1:5" ht="16" x14ac:dyDescent="0.2">
      <c r="A80" s="30" t="s">
        <v>396</v>
      </c>
      <c r="B80" s="36" t="s">
        <v>404</v>
      </c>
      <c r="C80" s="36" t="s">
        <v>407</v>
      </c>
      <c r="D80" s="6"/>
      <c r="E80" s="6"/>
    </row>
    <row r="81" spans="1:5" ht="16" x14ac:dyDescent="0.2">
      <c r="A81" s="30" t="s">
        <v>396</v>
      </c>
      <c r="B81" s="36" t="s">
        <v>424</v>
      </c>
      <c r="C81" s="36" t="s">
        <v>425</v>
      </c>
      <c r="D81" s="6"/>
      <c r="E81" s="36" t="s">
        <v>427</v>
      </c>
    </row>
    <row r="82" spans="1:5" ht="16" x14ac:dyDescent="0.2">
      <c r="A82" s="30" t="s">
        <v>591</v>
      </c>
      <c r="B82" s="91" t="s">
        <v>242</v>
      </c>
      <c r="C82" s="91" t="s">
        <v>675</v>
      </c>
      <c r="D82" s="6"/>
      <c r="E82" s="36"/>
    </row>
    <row r="83" spans="1:5" ht="16" x14ac:dyDescent="0.2">
      <c r="A83" s="30" t="s">
        <v>591</v>
      </c>
      <c r="B83" s="91" t="s">
        <v>59</v>
      </c>
      <c r="C83" s="91" t="s">
        <v>676</v>
      </c>
      <c r="D83" s="6"/>
      <c r="E83" s="36"/>
    </row>
    <row r="84" spans="1:5" ht="16" x14ac:dyDescent="0.2">
      <c r="A84" t="s">
        <v>57</v>
      </c>
      <c r="B84" s="10" t="s">
        <v>94</v>
      </c>
      <c r="C84" s="17" t="s">
        <v>141</v>
      </c>
      <c r="D84" s="6"/>
      <c r="E84" s="8"/>
    </row>
    <row r="85" spans="1:5" ht="16" x14ac:dyDescent="0.2">
      <c r="A85" t="s">
        <v>57</v>
      </c>
      <c r="B85" s="24" t="s">
        <v>314</v>
      </c>
      <c r="C85" s="36" t="s">
        <v>426</v>
      </c>
      <c r="D85" s="6"/>
      <c r="E85" s="8"/>
    </row>
    <row r="86" spans="1:5" ht="16" x14ac:dyDescent="0.2">
      <c r="A86" t="s">
        <v>316</v>
      </c>
      <c r="B86" s="24" t="s">
        <v>242</v>
      </c>
      <c r="C86" s="24" t="s">
        <v>318</v>
      </c>
      <c r="D86" s="6"/>
      <c r="E86" s="8"/>
    </row>
    <row r="87" spans="1:5" ht="16" x14ac:dyDescent="0.2">
      <c r="A87" t="s">
        <v>316</v>
      </c>
      <c r="B87" s="24" t="s">
        <v>59</v>
      </c>
      <c r="C87" s="24" t="s">
        <v>319</v>
      </c>
      <c r="D87" s="6"/>
      <c r="E87" s="8"/>
    </row>
    <row r="88" spans="1:5" ht="16" x14ac:dyDescent="0.2">
      <c r="A88" s="6"/>
      <c r="B88" s="6"/>
      <c r="C88" s="6"/>
      <c r="D88" s="6"/>
      <c r="E88" s="6"/>
    </row>
    <row r="89" spans="1:5" ht="16" x14ac:dyDescent="0.2">
      <c r="A89" s="6"/>
      <c r="B89" s="6"/>
      <c r="C89" s="6"/>
      <c r="D89" s="6"/>
      <c r="E89" s="6"/>
    </row>
    <row r="90" spans="1:5" ht="16" x14ac:dyDescent="0.2">
      <c r="A90" s="6"/>
      <c r="B90" s="6"/>
      <c r="C90" s="6"/>
      <c r="D90" s="6"/>
      <c r="E90" s="6"/>
    </row>
    <row r="91" spans="1:5" ht="16" x14ac:dyDescent="0.2">
      <c r="A91" s="6"/>
      <c r="B91" s="6"/>
      <c r="C91" s="6"/>
      <c r="D91" s="6"/>
      <c r="E91" s="6"/>
    </row>
    <row r="92" spans="1:5" ht="16" x14ac:dyDescent="0.2">
      <c r="A92" s="6"/>
      <c r="B92" s="6"/>
      <c r="C92" s="6"/>
      <c r="D92" s="6"/>
      <c r="E92" s="6"/>
    </row>
    <row r="93" spans="1:5" ht="16" x14ac:dyDescent="0.2">
      <c r="A93" s="6"/>
      <c r="B93" s="6"/>
      <c r="C93" s="6"/>
      <c r="D93" s="6"/>
      <c r="E93" s="6"/>
    </row>
    <row r="94" spans="1:5" ht="16" x14ac:dyDescent="0.2">
      <c r="A94" s="6"/>
      <c r="B94" s="6"/>
      <c r="C94" s="6"/>
      <c r="D94" s="6"/>
      <c r="E94" s="6"/>
    </row>
    <row r="95" spans="1:5" ht="16" x14ac:dyDescent="0.2">
      <c r="A95" s="6"/>
      <c r="B95" s="6"/>
      <c r="C95" s="6"/>
      <c r="D95" s="6"/>
      <c r="E95" s="6"/>
    </row>
    <row r="96" spans="1:5" ht="16" x14ac:dyDescent="0.2">
      <c r="A96" s="6"/>
      <c r="B96" s="6"/>
      <c r="C96" s="6"/>
      <c r="D96" s="6"/>
      <c r="E96" s="6"/>
    </row>
    <row r="97" spans="1:5" ht="16" x14ac:dyDescent="0.2">
      <c r="A97" s="6"/>
      <c r="C97" s="6"/>
      <c r="D97" s="6"/>
      <c r="E97" s="6"/>
    </row>
    <row r="98" spans="1:5" ht="16" x14ac:dyDescent="0.2">
      <c r="E98" s="6"/>
    </row>
    <row r="99" spans="1:5" ht="16" x14ac:dyDescent="0.2">
      <c r="E99" s="6"/>
    </row>
    <row r="100" spans="1:5" ht="16" x14ac:dyDescent="0.2">
      <c r="E100" s="6"/>
    </row>
    <row r="101" spans="1:5" ht="16" x14ac:dyDescent="0.2">
      <c r="E101" s="6"/>
    </row>
  </sheetData>
  <phoneticPr fontId="4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F60AF-03FF-3647-953E-8D8CDE543E1C}">
  <dimension ref="A1:N258"/>
  <sheetViews>
    <sheetView tabSelected="1" zoomScale="93" zoomScaleNormal="94" workbookViewId="0">
      <selection activeCell="D137" sqref="D137:E137"/>
    </sheetView>
  </sheetViews>
  <sheetFormatPr baseColWidth="10" defaultRowHeight="16" x14ac:dyDescent="0.2"/>
  <cols>
    <col min="1" max="1" width="118.6640625" style="48" customWidth="1"/>
    <col min="2" max="16384" width="10.83203125" style="48"/>
  </cols>
  <sheetData>
    <row r="1" spans="1:12" s="41" customFormat="1" x14ac:dyDescent="0.2">
      <c r="A1" s="41" t="s">
        <v>144</v>
      </c>
      <c r="B1" s="41" t="s">
        <v>145</v>
      </c>
      <c r="C1" s="41" t="s">
        <v>146</v>
      </c>
      <c r="D1" s="41" t="s">
        <v>147</v>
      </c>
      <c r="E1" s="41" t="s">
        <v>12</v>
      </c>
      <c r="F1" s="41" t="s">
        <v>148</v>
      </c>
      <c r="G1" s="41" t="s">
        <v>149</v>
      </c>
      <c r="H1" s="41" t="s">
        <v>9</v>
      </c>
      <c r="I1" s="41" t="s">
        <v>1</v>
      </c>
      <c r="J1" s="41" t="s">
        <v>150</v>
      </c>
      <c r="K1" s="41" t="s">
        <v>151</v>
      </c>
      <c r="L1" s="41" t="s">
        <v>152</v>
      </c>
    </row>
    <row r="2" spans="1:12" s="43" customFormat="1" ht="21" x14ac:dyDescent="0.25">
      <c r="A2" s="42" t="s">
        <v>153</v>
      </c>
    </row>
    <row r="3" spans="1:12" s="43" customFormat="1" x14ac:dyDescent="0.2">
      <c r="A3" s="43" t="s">
        <v>154</v>
      </c>
      <c r="D3" s="44">
        <v>1</v>
      </c>
      <c r="E3" s="43" t="s">
        <v>155</v>
      </c>
      <c r="F3" s="43">
        <v>1</v>
      </c>
      <c r="G3" s="43" t="s">
        <v>156</v>
      </c>
      <c r="H3" s="43" t="s">
        <v>291</v>
      </c>
    </row>
    <row r="4" spans="1:12" s="43" customFormat="1" x14ac:dyDescent="0.2">
      <c r="A4" s="43" t="s">
        <v>439</v>
      </c>
      <c r="D4" s="44">
        <v>1</v>
      </c>
      <c r="E4" s="43" t="s">
        <v>155</v>
      </c>
      <c r="F4" s="43">
        <v>2</v>
      </c>
      <c r="H4" s="43" t="s">
        <v>291</v>
      </c>
    </row>
    <row r="5" spans="1:12" s="43" customFormat="1" x14ac:dyDescent="0.2">
      <c r="A5" s="43" t="s">
        <v>440</v>
      </c>
      <c r="D5" s="44">
        <v>1</v>
      </c>
      <c r="E5" s="43" t="s">
        <v>155</v>
      </c>
      <c r="F5" s="43">
        <v>4</v>
      </c>
      <c r="H5" s="43" t="s">
        <v>291</v>
      </c>
    </row>
    <row r="6" spans="1:12" s="43" customFormat="1" x14ac:dyDescent="0.2">
      <c r="A6" s="43" t="s">
        <v>157</v>
      </c>
      <c r="D6" s="44">
        <v>1</v>
      </c>
      <c r="E6" s="43" t="s">
        <v>155</v>
      </c>
      <c r="F6" s="43">
        <v>3</v>
      </c>
      <c r="H6" s="43" t="s">
        <v>291</v>
      </c>
    </row>
    <row r="7" spans="1:12" s="43" customFormat="1" x14ac:dyDescent="0.2">
      <c r="A7" s="43" t="s">
        <v>441</v>
      </c>
      <c r="D7" s="44">
        <v>1</v>
      </c>
      <c r="E7" s="43" t="s">
        <v>155</v>
      </c>
      <c r="F7" s="43">
        <v>7</v>
      </c>
      <c r="H7" s="43" t="s">
        <v>291</v>
      </c>
    </row>
    <row r="8" spans="1:12" s="43" customFormat="1" x14ac:dyDescent="0.2">
      <c r="A8" s="43" t="s">
        <v>159</v>
      </c>
      <c r="D8" s="44">
        <v>1</v>
      </c>
      <c r="E8" s="43" t="s">
        <v>155</v>
      </c>
      <c r="F8" s="43">
        <v>5</v>
      </c>
      <c r="H8" s="43" t="s">
        <v>291</v>
      </c>
    </row>
    <row r="9" spans="1:12" s="43" customFormat="1" x14ac:dyDescent="0.2">
      <c r="A9" s="43" t="s">
        <v>690</v>
      </c>
      <c r="D9" s="44">
        <v>1</v>
      </c>
      <c r="E9" s="43" t="s">
        <v>155</v>
      </c>
      <c r="F9" s="43">
        <v>6</v>
      </c>
      <c r="H9" s="43" t="s">
        <v>291</v>
      </c>
    </row>
    <row r="10" spans="1:12" s="43" customFormat="1" x14ac:dyDescent="0.2">
      <c r="A10" s="43" t="s">
        <v>160</v>
      </c>
      <c r="D10" s="44">
        <v>1</v>
      </c>
      <c r="E10" s="43" t="s">
        <v>155</v>
      </c>
      <c r="F10" s="43">
        <v>8</v>
      </c>
      <c r="H10" s="43" t="s">
        <v>291</v>
      </c>
    </row>
    <row r="11" spans="1:12" s="43" customFormat="1" x14ac:dyDescent="0.2">
      <c r="A11" s="43" t="s">
        <v>691</v>
      </c>
      <c r="D11" s="44">
        <v>1</v>
      </c>
      <c r="E11" s="43" t="s">
        <v>155</v>
      </c>
      <c r="F11" s="43">
        <v>9</v>
      </c>
      <c r="H11" s="43" t="s">
        <v>291</v>
      </c>
    </row>
    <row r="12" spans="1:12" s="43" customFormat="1" x14ac:dyDescent="0.2">
      <c r="A12" s="43" t="s">
        <v>161</v>
      </c>
    </row>
    <row r="13" spans="1:12" s="43" customFormat="1" ht="21" x14ac:dyDescent="0.25">
      <c r="A13" s="42" t="s">
        <v>162</v>
      </c>
    </row>
    <row r="14" spans="1:12" s="43" customFormat="1" x14ac:dyDescent="0.2">
      <c r="A14" s="43" t="s">
        <v>163</v>
      </c>
      <c r="D14" s="44">
        <v>1</v>
      </c>
      <c r="E14" s="43" t="s">
        <v>155</v>
      </c>
      <c r="F14" s="43">
        <v>1</v>
      </c>
      <c r="G14" s="43" t="s">
        <v>156</v>
      </c>
      <c r="H14" s="43" t="s">
        <v>203</v>
      </c>
    </row>
    <row r="15" spans="1:12" s="43" customFormat="1" x14ac:dyDescent="0.2">
      <c r="A15" s="43" t="s">
        <v>164</v>
      </c>
      <c r="D15" s="44">
        <v>1</v>
      </c>
      <c r="E15" s="43" t="s">
        <v>155</v>
      </c>
      <c r="F15" s="43">
        <v>2</v>
      </c>
      <c r="H15" s="43" t="s">
        <v>203</v>
      </c>
    </row>
    <row r="16" spans="1:12" s="43" customFormat="1" x14ac:dyDescent="0.2">
      <c r="A16" s="43" t="s">
        <v>165</v>
      </c>
      <c r="D16" s="44">
        <v>1</v>
      </c>
      <c r="E16" s="43" t="s">
        <v>155</v>
      </c>
      <c r="F16" s="43">
        <v>5</v>
      </c>
      <c r="H16" s="43" t="s">
        <v>203</v>
      </c>
    </row>
    <row r="17" spans="1:8" s="43" customFormat="1" x14ac:dyDescent="0.2">
      <c r="A17" s="43" t="s">
        <v>166</v>
      </c>
      <c r="D17" s="44">
        <v>1</v>
      </c>
      <c r="E17" s="43" t="s">
        <v>155</v>
      </c>
      <c r="F17" s="43">
        <v>3</v>
      </c>
      <c r="H17" s="43" t="s">
        <v>203</v>
      </c>
    </row>
    <row r="18" spans="1:8" s="43" customFormat="1" x14ac:dyDescent="0.2">
      <c r="A18" s="43" t="s">
        <v>167</v>
      </c>
      <c r="D18" s="44">
        <v>1</v>
      </c>
      <c r="E18" s="43" t="s">
        <v>155</v>
      </c>
      <c r="F18" s="43">
        <v>4</v>
      </c>
      <c r="H18" s="43" t="s">
        <v>203</v>
      </c>
    </row>
    <row r="19" spans="1:8" s="43" customFormat="1" x14ac:dyDescent="0.2">
      <c r="A19" s="43" t="s">
        <v>168</v>
      </c>
      <c r="D19" s="44">
        <v>1</v>
      </c>
      <c r="E19" s="43" t="s">
        <v>155</v>
      </c>
      <c r="F19" s="43">
        <v>6</v>
      </c>
      <c r="H19" s="43" t="s">
        <v>203</v>
      </c>
    </row>
    <row r="20" spans="1:8" s="43" customFormat="1" x14ac:dyDescent="0.2">
      <c r="A20" s="43" t="s">
        <v>161</v>
      </c>
    </row>
    <row r="21" spans="1:8" s="43" customFormat="1" ht="21" x14ac:dyDescent="0.25">
      <c r="A21" s="42" t="s">
        <v>169</v>
      </c>
    </row>
    <row r="22" spans="1:8" s="43" customFormat="1" x14ac:dyDescent="0.2">
      <c r="A22" s="43" t="s">
        <v>343</v>
      </c>
      <c r="D22" s="44">
        <v>1</v>
      </c>
      <c r="E22" s="43" t="s">
        <v>155</v>
      </c>
      <c r="F22" s="43">
        <v>2</v>
      </c>
      <c r="G22" s="43" t="s">
        <v>344</v>
      </c>
      <c r="H22" s="43" t="s">
        <v>197</v>
      </c>
    </row>
    <row r="23" spans="1:8" s="43" customFormat="1" x14ac:dyDescent="0.2">
      <c r="A23" s="43" t="s">
        <v>170</v>
      </c>
      <c r="D23" s="44">
        <v>1</v>
      </c>
      <c r="E23" s="43" t="s">
        <v>155</v>
      </c>
      <c r="F23" s="43">
        <v>1</v>
      </c>
      <c r="G23" s="43" t="s">
        <v>156</v>
      </c>
      <c r="H23" s="43" t="s">
        <v>197</v>
      </c>
    </row>
    <row r="24" spans="1:8" s="43" customFormat="1" x14ac:dyDescent="0.2">
      <c r="A24" s="43" t="s">
        <v>171</v>
      </c>
      <c r="D24" s="44">
        <v>1</v>
      </c>
      <c r="E24" s="43" t="s">
        <v>155</v>
      </c>
      <c r="F24" s="43">
        <v>3</v>
      </c>
      <c r="G24" s="43" t="s">
        <v>172</v>
      </c>
      <c r="H24" s="43" t="s">
        <v>197</v>
      </c>
    </row>
    <row r="25" spans="1:8" s="43" customFormat="1" x14ac:dyDescent="0.2">
      <c r="A25" s="43" t="s">
        <v>173</v>
      </c>
      <c r="D25" s="44">
        <v>1</v>
      </c>
      <c r="E25" s="43" t="s">
        <v>155</v>
      </c>
      <c r="F25" s="43">
        <v>4</v>
      </c>
      <c r="G25" s="43" t="s">
        <v>364</v>
      </c>
      <c r="H25" s="43" t="s">
        <v>197</v>
      </c>
    </row>
    <row r="26" spans="1:8" s="43" customFormat="1" x14ac:dyDescent="0.2">
      <c r="A26" s="43" t="s">
        <v>243</v>
      </c>
      <c r="D26" s="44">
        <v>1</v>
      </c>
      <c r="E26" s="43" t="s">
        <v>155</v>
      </c>
      <c r="F26" s="43">
        <v>5</v>
      </c>
      <c r="H26" s="43" t="s">
        <v>197</v>
      </c>
    </row>
    <row r="27" spans="1:8" s="43" customFormat="1" x14ac:dyDescent="0.2">
      <c r="A27" s="43" t="s">
        <v>161</v>
      </c>
    </row>
    <row r="28" spans="1:8" s="43" customFormat="1" ht="21" x14ac:dyDescent="0.25">
      <c r="A28" s="42" t="s">
        <v>174</v>
      </c>
    </row>
    <row r="29" spans="1:8" s="43" customFormat="1" x14ac:dyDescent="0.2">
      <c r="A29" s="43" t="s">
        <v>175</v>
      </c>
      <c r="D29" s="44">
        <v>1</v>
      </c>
      <c r="E29" s="43" t="s">
        <v>155</v>
      </c>
      <c r="F29" s="43">
        <v>1</v>
      </c>
      <c r="G29" s="43" t="s">
        <v>156</v>
      </c>
      <c r="H29" s="43" t="s">
        <v>292</v>
      </c>
    </row>
    <row r="30" spans="1:8" s="43" customFormat="1" x14ac:dyDescent="0.2">
      <c r="A30" s="43" t="s">
        <v>176</v>
      </c>
      <c r="D30" s="44">
        <v>1</v>
      </c>
      <c r="E30" s="43" t="s">
        <v>155</v>
      </c>
      <c r="F30" s="43">
        <v>2</v>
      </c>
      <c r="H30" s="43" t="s">
        <v>292</v>
      </c>
    </row>
    <row r="31" spans="1:8" s="43" customFormat="1" x14ac:dyDescent="0.2">
      <c r="A31" s="43" t="s">
        <v>177</v>
      </c>
      <c r="D31" s="44">
        <v>1</v>
      </c>
      <c r="E31" s="43" t="s">
        <v>155</v>
      </c>
      <c r="F31" s="43">
        <v>4</v>
      </c>
      <c r="H31" s="43" t="s">
        <v>292</v>
      </c>
    </row>
    <row r="32" spans="1:8" s="43" customFormat="1" x14ac:dyDescent="0.2">
      <c r="A32" s="43" t="s">
        <v>245</v>
      </c>
      <c r="D32" s="44">
        <v>1</v>
      </c>
      <c r="E32" s="43" t="s">
        <v>155</v>
      </c>
      <c r="F32" s="43">
        <v>3</v>
      </c>
      <c r="H32" s="43" t="s">
        <v>292</v>
      </c>
    </row>
    <row r="33" spans="1:14" s="43" customFormat="1" x14ac:dyDescent="0.2">
      <c r="A33" s="43" t="s">
        <v>178</v>
      </c>
      <c r="J33" s="43" t="s">
        <v>179</v>
      </c>
      <c r="K33" s="43" t="s">
        <v>179</v>
      </c>
      <c r="L33" s="43" t="s">
        <v>179</v>
      </c>
      <c r="M33" s="43" t="s">
        <v>179</v>
      </c>
      <c r="N33" s="43" t="s">
        <v>179</v>
      </c>
    </row>
    <row r="34" spans="1:14" s="43" customFormat="1" x14ac:dyDescent="0.2">
      <c r="A34" s="43" t="s">
        <v>179</v>
      </c>
      <c r="D34" s="44">
        <v>1</v>
      </c>
      <c r="E34" s="43" t="s">
        <v>155</v>
      </c>
      <c r="F34" s="43">
        <v>5</v>
      </c>
      <c r="H34" s="43" t="s">
        <v>292</v>
      </c>
    </row>
    <row r="35" spans="1:14" s="43" customFormat="1" x14ac:dyDescent="0.2">
      <c r="A35" s="43" t="s">
        <v>161</v>
      </c>
    </row>
    <row r="36" spans="1:14" s="43" customFormat="1" ht="21" x14ac:dyDescent="0.25">
      <c r="A36" s="42" t="s">
        <v>444</v>
      </c>
    </row>
    <row r="37" spans="1:14" s="43" customFormat="1" x14ac:dyDescent="0.2">
      <c r="A37" s="43" t="s">
        <v>180</v>
      </c>
      <c r="D37" s="44">
        <v>1</v>
      </c>
      <c r="E37" s="43" t="s">
        <v>155</v>
      </c>
      <c r="F37" s="43">
        <v>1</v>
      </c>
      <c r="G37" s="43" t="s">
        <v>593</v>
      </c>
      <c r="H37" s="43" t="s">
        <v>467</v>
      </c>
    </row>
    <row r="38" spans="1:14" s="43" customFormat="1" x14ac:dyDescent="0.2">
      <c r="A38" s="43" t="s">
        <v>181</v>
      </c>
      <c r="D38" s="44">
        <v>1</v>
      </c>
      <c r="E38" s="43" t="s">
        <v>155</v>
      </c>
      <c r="F38" s="43">
        <v>2</v>
      </c>
      <c r="G38" s="43" t="s">
        <v>594</v>
      </c>
      <c r="H38" s="43" t="s">
        <v>467</v>
      </c>
    </row>
    <row r="39" spans="1:14" s="43" customFormat="1" x14ac:dyDescent="0.2">
      <c r="A39" s="43" t="s">
        <v>182</v>
      </c>
      <c r="D39" s="44">
        <v>1</v>
      </c>
      <c r="E39" s="43" t="s">
        <v>155</v>
      </c>
      <c r="F39" s="43">
        <v>5</v>
      </c>
      <c r="G39" s="43" t="s">
        <v>594</v>
      </c>
      <c r="H39" s="43" t="s">
        <v>467</v>
      </c>
    </row>
    <row r="40" spans="1:14" s="43" customFormat="1" x14ac:dyDescent="0.2">
      <c r="A40" s="43" t="s">
        <v>183</v>
      </c>
      <c r="D40" s="44">
        <v>1</v>
      </c>
      <c r="E40" s="43" t="s">
        <v>155</v>
      </c>
      <c r="F40" s="45">
        <v>4</v>
      </c>
      <c r="G40" s="43" t="s">
        <v>594</v>
      </c>
      <c r="H40" s="43" t="s">
        <v>467</v>
      </c>
    </row>
    <row r="41" spans="1:14" s="43" customFormat="1" x14ac:dyDescent="0.2">
      <c r="A41" s="43" t="s">
        <v>184</v>
      </c>
      <c r="D41" s="44">
        <v>1</v>
      </c>
      <c r="E41" s="43" t="s">
        <v>155</v>
      </c>
      <c r="F41" s="43">
        <v>3</v>
      </c>
      <c r="G41" s="43" t="s">
        <v>594</v>
      </c>
      <c r="H41" s="43" t="s">
        <v>467</v>
      </c>
    </row>
    <row r="42" spans="1:14" s="43" customFormat="1" x14ac:dyDescent="0.2">
      <c r="A42" s="43" t="s">
        <v>247</v>
      </c>
      <c r="D42" s="44">
        <v>1</v>
      </c>
      <c r="E42" s="43" t="s">
        <v>155</v>
      </c>
      <c r="F42" s="43">
        <v>6</v>
      </c>
      <c r="G42" s="43" t="s">
        <v>594</v>
      </c>
      <c r="H42" s="43" t="s">
        <v>467</v>
      </c>
    </row>
    <row r="43" spans="1:14" s="43" customFormat="1" x14ac:dyDescent="0.2">
      <c r="A43" s="43" t="s">
        <v>161</v>
      </c>
    </row>
    <row r="44" spans="1:14" s="43" customFormat="1" ht="21" x14ac:dyDescent="0.25">
      <c r="A44" s="42" t="s">
        <v>185</v>
      </c>
    </row>
    <row r="45" spans="1:14" s="43" customFormat="1" x14ac:dyDescent="0.2">
      <c r="A45" s="43" t="s">
        <v>186</v>
      </c>
      <c r="D45" s="44">
        <v>1</v>
      </c>
      <c r="E45" s="43" t="s">
        <v>155</v>
      </c>
      <c r="F45" s="43">
        <v>1</v>
      </c>
      <c r="G45" s="43" t="s">
        <v>156</v>
      </c>
      <c r="H45" s="43" t="s">
        <v>207</v>
      </c>
    </row>
    <row r="46" spans="1:14" s="43" customFormat="1" x14ac:dyDescent="0.2">
      <c r="A46" s="43" t="s">
        <v>187</v>
      </c>
      <c r="D46" s="44">
        <v>1</v>
      </c>
      <c r="E46" s="43" t="s">
        <v>155</v>
      </c>
      <c r="F46" s="43">
        <v>2</v>
      </c>
      <c r="G46" s="43" t="s">
        <v>188</v>
      </c>
      <c r="H46" s="43" t="s">
        <v>207</v>
      </c>
    </row>
    <row r="47" spans="1:14" s="43" customFormat="1" x14ac:dyDescent="0.2">
      <c r="A47" s="43" t="s">
        <v>189</v>
      </c>
      <c r="D47" s="44">
        <v>1</v>
      </c>
      <c r="E47" s="43" t="s">
        <v>155</v>
      </c>
      <c r="F47" s="43">
        <v>4</v>
      </c>
      <c r="H47" s="43" t="s">
        <v>207</v>
      </c>
    </row>
    <row r="48" spans="1:14" s="43" customFormat="1" x14ac:dyDescent="0.2">
      <c r="A48" s="43" t="s">
        <v>190</v>
      </c>
      <c r="D48" s="44">
        <v>1</v>
      </c>
      <c r="E48" s="43" t="s">
        <v>155</v>
      </c>
      <c r="F48" s="43">
        <v>3</v>
      </c>
      <c r="H48" s="43" t="s">
        <v>207</v>
      </c>
    </row>
    <row r="49" spans="1:8" s="43" customFormat="1" x14ac:dyDescent="0.2">
      <c r="A49" s="43" t="s">
        <v>248</v>
      </c>
      <c r="D49" s="44">
        <v>1</v>
      </c>
      <c r="E49" s="43" t="s">
        <v>155</v>
      </c>
      <c r="F49" s="43">
        <v>5</v>
      </c>
      <c r="H49" s="43" t="s">
        <v>207</v>
      </c>
    </row>
    <row r="50" spans="1:8" s="43" customFormat="1" x14ac:dyDescent="0.2">
      <c r="A50" s="43" t="s">
        <v>161</v>
      </c>
    </row>
    <row r="51" spans="1:8" s="43" customFormat="1" ht="21" x14ac:dyDescent="0.25">
      <c r="A51" s="42" t="s">
        <v>445</v>
      </c>
    </row>
    <row r="52" spans="1:8" s="43" customFormat="1" x14ac:dyDescent="0.2">
      <c r="A52" s="43" t="s">
        <v>191</v>
      </c>
      <c r="D52" s="44">
        <v>1</v>
      </c>
      <c r="E52" s="43" t="s">
        <v>155</v>
      </c>
      <c r="F52" s="43">
        <v>1</v>
      </c>
      <c r="G52" s="43" t="s">
        <v>156</v>
      </c>
      <c r="H52" s="43" t="s">
        <v>293</v>
      </c>
    </row>
    <row r="53" spans="1:8" s="43" customFormat="1" x14ac:dyDescent="0.2">
      <c r="A53" s="43" t="s">
        <v>368</v>
      </c>
      <c r="D53" s="44">
        <v>1</v>
      </c>
      <c r="E53" s="43" t="s">
        <v>155</v>
      </c>
      <c r="F53" s="43">
        <v>2</v>
      </c>
      <c r="G53" s="43" t="s">
        <v>156</v>
      </c>
      <c r="H53" s="43" t="s">
        <v>293</v>
      </c>
    </row>
    <row r="54" spans="1:8" s="43" customFormat="1" x14ac:dyDescent="0.2">
      <c r="A54" s="43" t="s">
        <v>192</v>
      </c>
      <c r="D54" s="44">
        <v>1</v>
      </c>
      <c r="E54" s="43" t="s">
        <v>155</v>
      </c>
      <c r="F54" s="43">
        <v>3</v>
      </c>
      <c r="H54" s="43" t="s">
        <v>293</v>
      </c>
    </row>
    <row r="55" spans="1:8" s="43" customFormat="1" x14ac:dyDescent="0.2">
      <c r="A55" s="43" t="s">
        <v>193</v>
      </c>
      <c r="D55" s="44">
        <v>1</v>
      </c>
      <c r="E55" s="43" t="s">
        <v>155</v>
      </c>
      <c r="F55" s="43">
        <v>7</v>
      </c>
      <c r="H55" s="43" t="s">
        <v>293</v>
      </c>
    </row>
    <row r="56" spans="1:8" s="43" customFormat="1" x14ac:dyDescent="0.2">
      <c r="A56" s="43" t="s">
        <v>194</v>
      </c>
      <c r="D56" s="44">
        <v>1</v>
      </c>
      <c r="E56" s="43" t="s">
        <v>155</v>
      </c>
      <c r="F56" s="43">
        <v>4</v>
      </c>
      <c r="H56" s="43" t="s">
        <v>293</v>
      </c>
    </row>
    <row r="57" spans="1:8" s="43" customFormat="1" x14ac:dyDescent="0.2">
      <c r="A57" s="43" t="s">
        <v>195</v>
      </c>
      <c r="D57" s="44">
        <v>1</v>
      </c>
      <c r="E57" s="43" t="s">
        <v>155</v>
      </c>
      <c r="F57" s="43">
        <v>5</v>
      </c>
      <c r="H57" s="43" t="s">
        <v>293</v>
      </c>
    </row>
    <row r="58" spans="1:8" s="43" customFormat="1" x14ac:dyDescent="0.2">
      <c r="A58" s="43" t="s">
        <v>246</v>
      </c>
      <c r="D58" s="44">
        <v>1</v>
      </c>
      <c r="E58" s="43" t="s">
        <v>155</v>
      </c>
      <c r="F58" s="43">
        <v>6</v>
      </c>
      <c r="H58" s="43" t="s">
        <v>293</v>
      </c>
    </row>
    <row r="59" spans="1:8" s="43" customFormat="1" x14ac:dyDescent="0.2">
      <c r="A59" s="43" t="s">
        <v>161</v>
      </c>
    </row>
    <row r="60" spans="1:8" s="43" customFormat="1" ht="21" x14ac:dyDescent="0.25">
      <c r="A60" s="42" t="s">
        <v>446</v>
      </c>
    </row>
    <row r="61" spans="1:8" s="43" customFormat="1" ht="21" x14ac:dyDescent="0.25">
      <c r="A61" s="42" t="s">
        <v>371</v>
      </c>
      <c r="D61" s="44">
        <v>1</v>
      </c>
      <c r="E61" s="43" t="s">
        <v>155</v>
      </c>
      <c r="F61" s="43">
        <v>1</v>
      </c>
      <c r="H61" s="43" t="s">
        <v>290</v>
      </c>
    </row>
    <row r="62" spans="1:8" s="43" customFormat="1" x14ac:dyDescent="0.2">
      <c r="A62" s="43" t="s">
        <v>271</v>
      </c>
      <c r="D62" s="44">
        <v>1</v>
      </c>
      <c r="E62" s="43" t="s">
        <v>155</v>
      </c>
      <c r="F62" s="43">
        <v>4</v>
      </c>
      <c r="G62" s="43" t="s">
        <v>272</v>
      </c>
      <c r="H62" s="43" t="s">
        <v>290</v>
      </c>
    </row>
    <row r="63" spans="1:8" s="43" customFormat="1" x14ac:dyDescent="0.2">
      <c r="A63" s="43" t="s">
        <v>273</v>
      </c>
      <c r="D63" s="44">
        <v>1</v>
      </c>
      <c r="E63" s="43" t="s">
        <v>155</v>
      </c>
      <c r="F63" s="43">
        <v>5</v>
      </c>
      <c r="H63" s="43" t="s">
        <v>290</v>
      </c>
    </row>
    <row r="64" spans="1:8" s="43" customFormat="1" x14ac:dyDescent="0.2">
      <c r="A64" s="43" t="s">
        <v>342</v>
      </c>
      <c r="D64" s="46">
        <v>1</v>
      </c>
      <c r="E64" s="47" t="s">
        <v>155</v>
      </c>
      <c r="F64" s="47">
        <v>2</v>
      </c>
      <c r="G64" s="47"/>
      <c r="H64" s="43" t="s">
        <v>290</v>
      </c>
    </row>
    <row r="65" spans="1:8" s="43" customFormat="1" x14ac:dyDescent="0.2">
      <c r="A65" s="43" t="s">
        <v>372</v>
      </c>
      <c r="D65" s="46">
        <v>1</v>
      </c>
      <c r="E65" s="47" t="s">
        <v>155</v>
      </c>
      <c r="F65" s="47">
        <v>3</v>
      </c>
      <c r="G65" s="47"/>
      <c r="H65" s="43" t="s">
        <v>290</v>
      </c>
    </row>
    <row r="66" spans="1:8" s="43" customFormat="1" x14ac:dyDescent="0.2">
      <c r="A66" s="43" t="s">
        <v>161</v>
      </c>
    </row>
    <row r="67" spans="1:8" s="43" customFormat="1" ht="21" x14ac:dyDescent="0.25">
      <c r="A67" s="42" t="s">
        <v>274</v>
      </c>
    </row>
    <row r="68" spans="1:8" s="43" customFormat="1" ht="21" x14ac:dyDescent="0.25">
      <c r="A68" s="42" t="s">
        <v>502</v>
      </c>
      <c r="D68" s="44">
        <v>1</v>
      </c>
      <c r="E68" s="43" t="s">
        <v>155</v>
      </c>
      <c r="F68" s="43">
        <v>1</v>
      </c>
      <c r="G68" s="43" t="s">
        <v>276</v>
      </c>
      <c r="H68" s="43" t="s">
        <v>464</v>
      </c>
    </row>
    <row r="69" spans="1:8" s="43" customFormat="1" x14ac:dyDescent="0.2">
      <c r="A69" s="43" t="s">
        <v>275</v>
      </c>
      <c r="D69" s="44">
        <v>1</v>
      </c>
      <c r="E69" s="43" t="s">
        <v>155</v>
      </c>
      <c r="F69" s="43">
        <v>2</v>
      </c>
      <c r="H69" s="43" t="s">
        <v>464</v>
      </c>
    </row>
    <row r="70" spans="1:8" x14ac:dyDescent="0.2">
      <c r="A70" s="48" t="s">
        <v>340</v>
      </c>
      <c r="D70" s="44">
        <v>1</v>
      </c>
      <c r="E70" s="43" t="s">
        <v>155</v>
      </c>
      <c r="F70" s="43">
        <v>3</v>
      </c>
      <c r="H70" s="43" t="s">
        <v>464</v>
      </c>
    </row>
    <row r="71" spans="1:8" s="43" customFormat="1" x14ac:dyDescent="0.2">
      <c r="A71" s="43" t="s">
        <v>161</v>
      </c>
    </row>
    <row r="72" spans="1:8" s="43" customFormat="1" ht="21" x14ac:dyDescent="0.25">
      <c r="A72" s="42" t="s">
        <v>277</v>
      </c>
    </row>
    <row r="73" spans="1:8" s="43" customFormat="1" x14ac:dyDescent="0.2">
      <c r="A73" s="43" t="s">
        <v>278</v>
      </c>
      <c r="D73" s="44">
        <v>1</v>
      </c>
      <c r="E73" s="43" t="s">
        <v>155</v>
      </c>
      <c r="H73" s="43" t="s">
        <v>465</v>
      </c>
    </row>
    <row r="74" spans="1:8" s="43" customFormat="1" x14ac:dyDescent="0.2">
      <c r="A74" s="43" t="s">
        <v>161</v>
      </c>
    </row>
    <row r="75" spans="1:8" s="43" customFormat="1" ht="21" x14ac:dyDescent="0.25">
      <c r="A75" s="42" t="s">
        <v>357</v>
      </c>
    </row>
    <row r="76" spans="1:8" s="43" customFormat="1" x14ac:dyDescent="0.2">
      <c r="A76" s="43" t="s">
        <v>360</v>
      </c>
      <c r="D76" s="44">
        <v>1</v>
      </c>
      <c r="E76" s="43" t="s">
        <v>155</v>
      </c>
      <c r="F76" s="43">
        <v>3</v>
      </c>
      <c r="H76" s="11" t="s">
        <v>466</v>
      </c>
    </row>
    <row r="77" spans="1:8" s="43" customFormat="1" x14ac:dyDescent="0.2">
      <c r="A77" s="43" t="s">
        <v>358</v>
      </c>
      <c r="D77" s="44">
        <v>1</v>
      </c>
      <c r="E77" s="43" t="s">
        <v>155</v>
      </c>
      <c r="F77" s="43">
        <v>2</v>
      </c>
      <c r="H77" s="11" t="s">
        <v>466</v>
      </c>
    </row>
    <row r="78" spans="1:8" s="43" customFormat="1" x14ac:dyDescent="0.2">
      <c r="A78" s="43" t="s">
        <v>359</v>
      </c>
      <c r="D78" s="44">
        <v>1</v>
      </c>
      <c r="E78" s="43" t="s">
        <v>155</v>
      </c>
      <c r="F78" s="43">
        <v>4</v>
      </c>
      <c r="H78" s="11" t="s">
        <v>466</v>
      </c>
    </row>
    <row r="79" spans="1:8" s="43" customFormat="1" x14ac:dyDescent="0.2">
      <c r="A79" s="43" t="s">
        <v>361</v>
      </c>
      <c r="D79" s="44">
        <v>1</v>
      </c>
      <c r="E79" s="43" t="s">
        <v>155</v>
      </c>
      <c r="F79" s="43">
        <v>1</v>
      </c>
      <c r="H79" s="11" t="s">
        <v>466</v>
      </c>
    </row>
    <row r="80" spans="1:8" x14ac:dyDescent="0.2">
      <c r="A80" s="48" t="s">
        <v>161</v>
      </c>
    </row>
    <row r="81" spans="1:8" s="43" customFormat="1" ht="21" x14ac:dyDescent="0.25">
      <c r="A81" s="42" t="s">
        <v>335</v>
      </c>
    </row>
    <row r="82" spans="1:8" s="43" customFormat="1" x14ac:dyDescent="0.2">
      <c r="A82" s="48" t="s">
        <v>341</v>
      </c>
      <c r="D82" s="49">
        <v>1</v>
      </c>
      <c r="E82" s="48" t="s">
        <v>155</v>
      </c>
      <c r="F82" s="48">
        <v>1</v>
      </c>
      <c r="G82" s="48"/>
      <c r="H82" s="11" t="s">
        <v>467</v>
      </c>
    </row>
    <row r="83" spans="1:8" s="43" customFormat="1" x14ac:dyDescent="0.2">
      <c r="A83" s="48" t="s">
        <v>447</v>
      </c>
      <c r="D83" s="49">
        <v>1</v>
      </c>
      <c r="E83" s="48" t="s">
        <v>155</v>
      </c>
      <c r="F83" s="48">
        <v>3</v>
      </c>
      <c r="G83" s="48"/>
      <c r="H83" s="11" t="s">
        <v>467</v>
      </c>
    </row>
    <row r="84" spans="1:8" s="43" customFormat="1" x14ac:dyDescent="0.2">
      <c r="A84" s="48" t="s">
        <v>496</v>
      </c>
      <c r="D84" s="49">
        <v>1</v>
      </c>
      <c r="E84" s="48" t="s">
        <v>155</v>
      </c>
      <c r="F84" s="48">
        <v>4</v>
      </c>
      <c r="G84" s="48"/>
      <c r="H84" s="11" t="s">
        <v>467</v>
      </c>
    </row>
    <row r="85" spans="1:8" s="43" customFormat="1" x14ac:dyDescent="0.2">
      <c r="A85" s="48" t="s">
        <v>448</v>
      </c>
      <c r="D85" s="49">
        <v>1</v>
      </c>
      <c r="E85" s="48" t="s">
        <v>155</v>
      </c>
      <c r="F85" s="48">
        <v>2</v>
      </c>
      <c r="G85" s="48"/>
      <c r="H85" s="11" t="s">
        <v>467</v>
      </c>
    </row>
    <row r="86" spans="1:8" s="43" customFormat="1" ht="21" x14ac:dyDescent="0.25">
      <c r="A86" s="42" t="s">
        <v>410</v>
      </c>
    </row>
    <row r="87" spans="1:8" s="43" customFormat="1" ht="21" x14ac:dyDescent="0.25">
      <c r="A87" s="42" t="s">
        <v>501</v>
      </c>
      <c r="D87" s="49">
        <v>1</v>
      </c>
      <c r="E87" s="48" t="s">
        <v>155</v>
      </c>
      <c r="F87" s="43">
        <v>2</v>
      </c>
    </row>
    <row r="88" spans="1:8" s="43" customFormat="1" ht="21" x14ac:dyDescent="0.25">
      <c r="A88" s="42" t="s">
        <v>500</v>
      </c>
      <c r="D88" s="49">
        <v>1</v>
      </c>
      <c r="E88" s="48" t="s">
        <v>155</v>
      </c>
      <c r="F88" s="48">
        <v>1</v>
      </c>
      <c r="G88" s="48"/>
      <c r="H88" s="11" t="s">
        <v>468</v>
      </c>
    </row>
    <row r="89" spans="1:8" s="43" customFormat="1" x14ac:dyDescent="0.2">
      <c r="A89" s="48" t="s">
        <v>411</v>
      </c>
      <c r="D89" s="49">
        <v>1</v>
      </c>
      <c r="E89" s="48" t="s">
        <v>155</v>
      </c>
      <c r="F89" s="48">
        <v>5</v>
      </c>
      <c r="G89" s="48"/>
      <c r="H89" s="11" t="s">
        <v>468</v>
      </c>
    </row>
    <row r="90" spans="1:8" s="43" customFormat="1" x14ac:dyDescent="0.2">
      <c r="A90" s="48" t="s">
        <v>412</v>
      </c>
      <c r="D90" s="49">
        <v>1</v>
      </c>
      <c r="E90" s="48" t="s">
        <v>155</v>
      </c>
      <c r="F90" s="48">
        <v>4</v>
      </c>
      <c r="G90" s="48"/>
      <c r="H90" s="11" t="s">
        <v>468</v>
      </c>
    </row>
    <row r="91" spans="1:8" s="43" customFormat="1" x14ac:dyDescent="0.2">
      <c r="A91" s="48" t="s">
        <v>408</v>
      </c>
      <c r="D91" s="49">
        <v>1</v>
      </c>
      <c r="E91" s="48" t="s">
        <v>155</v>
      </c>
      <c r="F91" s="43">
        <v>3</v>
      </c>
      <c r="H91" s="11" t="s">
        <v>468</v>
      </c>
    </row>
    <row r="92" spans="1:8" s="43" customFormat="1" ht="21" x14ac:dyDescent="0.25">
      <c r="A92" s="42" t="s">
        <v>413</v>
      </c>
    </row>
    <row r="93" spans="1:8" s="43" customFormat="1" x14ac:dyDescent="0.2">
      <c r="A93" s="48" t="s">
        <v>414</v>
      </c>
      <c r="D93" s="49">
        <v>1</v>
      </c>
      <c r="E93" s="48" t="s">
        <v>155</v>
      </c>
      <c r="F93" s="48">
        <v>1</v>
      </c>
      <c r="G93" s="48"/>
      <c r="H93" s="11" t="s">
        <v>469</v>
      </c>
    </row>
    <row r="94" spans="1:8" s="43" customFormat="1" x14ac:dyDescent="0.2">
      <c r="A94" s="48" t="s">
        <v>415</v>
      </c>
      <c r="D94" s="49">
        <v>1</v>
      </c>
      <c r="E94" s="48" t="s">
        <v>155</v>
      </c>
      <c r="F94" s="48">
        <v>2</v>
      </c>
      <c r="G94" s="48"/>
      <c r="H94" s="11" t="s">
        <v>469</v>
      </c>
    </row>
    <row r="95" spans="1:8" s="43" customFormat="1" ht="21" x14ac:dyDescent="0.25">
      <c r="A95" s="42" t="s">
        <v>491</v>
      </c>
      <c r="D95" s="49"/>
      <c r="E95" s="48"/>
      <c r="F95" s="48"/>
      <c r="G95" s="48"/>
      <c r="H95" s="11"/>
    </row>
    <row r="96" spans="1:8" s="43" customFormat="1" ht="21" x14ac:dyDescent="0.25">
      <c r="A96" s="52" t="s">
        <v>492</v>
      </c>
      <c r="D96" s="49">
        <v>1</v>
      </c>
      <c r="E96" s="48" t="s">
        <v>155</v>
      </c>
      <c r="F96" s="48">
        <v>1</v>
      </c>
      <c r="G96" s="48"/>
      <c r="H96" s="11" t="s">
        <v>487</v>
      </c>
    </row>
    <row r="97" spans="1:8" s="43" customFormat="1" ht="21" x14ac:dyDescent="0.25">
      <c r="A97" s="52" t="s">
        <v>493</v>
      </c>
      <c r="D97" s="49">
        <v>1</v>
      </c>
      <c r="E97" s="48" t="s">
        <v>155</v>
      </c>
      <c r="F97" s="48">
        <v>2</v>
      </c>
      <c r="G97" s="48"/>
      <c r="H97" s="11" t="s">
        <v>487</v>
      </c>
    </row>
    <row r="98" spans="1:8" s="43" customFormat="1" ht="21" x14ac:dyDescent="0.25">
      <c r="A98" s="52" t="s">
        <v>494</v>
      </c>
      <c r="D98" s="49">
        <v>1</v>
      </c>
      <c r="E98" s="48" t="s">
        <v>155</v>
      </c>
      <c r="F98" s="48">
        <v>4</v>
      </c>
      <c r="G98" s="48"/>
      <c r="H98" s="11" t="s">
        <v>487</v>
      </c>
    </row>
    <row r="99" spans="1:8" s="43" customFormat="1" ht="21" x14ac:dyDescent="0.25">
      <c r="A99" s="52" t="s">
        <v>495</v>
      </c>
      <c r="D99" s="49">
        <v>1</v>
      </c>
      <c r="E99" s="48" t="s">
        <v>155</v>
      </c>
      <c r="F99" s="48">
        <v>3</v>
      </c>
      <c r="G99" s="48"/>
      <c r="H99" s="11" t="s">
        <v>487</v>
      </c>
    </row>
    <row r="100" spans="1:8" s="43" customFormat="1" ht="21" x14ac:dyDescent="0.25">
      <c r="A100" s="42" t="s">
        <v>509</v>
      </c>
      <c r="D100" s="49"/>
      <c r="E100" s="48"/>
      <c r="F100" s="48"/>
      <c r="G100" s="48"/>
      <c r="H100" s="11"/>
    </row>
    <row r="101" spans="1:8" s="43" customFormat="1" ht="21" x14ac:dyDescent="0.25">
      <c r="A101" s="52" t="s">
        <v>510</v>
      </c>
      <c r="D101" s="49">
        <v>1</v>
      </c>
      <c r="E101" s="48" t="s">
        <v>155</v>
      </c>
      <c r="F101" s="48">
        <v>1</v>
      </c>
      <c r="G101" s="48"/>
      <c r="H101" s="11" t="s">
        <v>508</v>
      </c>
    </row>
    <row r="102" spans="1:8" s="43" customFormat="1" ht="21" x14ac:dyDescent="0.25">
      <c r="A102" s="52" t="s">
        <v>511</v>
      </c>
      <c r="D102" s="49">
        <v>1</v>
      </c>
      <c r="E102" s="48" t="s">
        <v>155</v>
      </c>
      <c r="F102" s="48">
        <v>3</v>
      </c>
      <c r="G102" s="48"/>
      <c r="H102" s="11" t="s">
        <v>508</v>
      </c>
    </row>
    <row r="103" spans="1:8" s="43" customFormat="1" ht="21" x14ac:dyDescent="0.25">
      <c r="A103" s="52" t="s">
        <v>512</v>
      </c>
      <c r="D103" s="49">
        <v>1</v>
      </c>
      <c r="E103" s="48" t="s">
        <v>155</v>
      </c>
      <c r="F103" s="48">
        <v>4</v>
      </c>
      <c r="G103" s="48"/>
      <c r="H103" s="11" t="s">
        <v>508</v>
      </c>
    </row>
    <row r="104" spans="1:8" s="43" customFormat="1" ht="21" x14ac:dyDescent="0.25">
      <c r="A104" s="52" t="s">
        <v>694</v>
      </c>
      <c r="D104" s="49">
        <v>1</v>
      </c>
      <c r="E104" s="48" t="s">
        <v>155</v>
      </c>
      <c r="F104" s="48">
        <v>5</v>
      </c>
      <c r="G104" s="48"/>
      <c r="H104" s="11" t="s">
        <v>508</v>
      </c>
    </row>
    <row r="105" spans="1:8" s="43" customFormat="1" ht="21" x14ac:dyDescent="0.25">
      <c r="A105" s="52" t="s">
        <v>513</v>
      </c>
      <c r="D105" s="49">
        <v>1</v>
      </c>
      <c r="E105" s="48" t="s">
        <v>155</v>
      </c>
      <c r="F105" s="48">
        <v>2</v>
      </c>
      <c r="G105" s="48"/>
      <c r="H105" s="11" t="s">
        <v>508</v>
      </c>
    </row>
    <row r="106" spans="1:8" s="43" customFormat="1" ht="21" x14ac:dyDescent="0.25">
      <c r="A106" s="52" t="s">
        <v>514</v>
      </c>
      <c r="D106" s="49">
        <v>1</v>
      </c>
      <c r="E106" s="48" t="s">
        <v>155</v>
      </c>
      <c r="F106" s="48">
        <v>6</v>
      </c>
      <c r="G106" s="48"/>
      <c r="H106" s="11" t="s">
        <v>508</v>
      </c>
    </row>
    <row r="107" spans="1:8" s="43" customFormat="1" ht="21" x14ac:dyDescent="0.25">
      <c r="A107" s="52" t="s">
        <v>161</v>
      </c>
      <c r="D107" s="49"/>
      <c r="E107" s="48"/>
      <c r="F107" s="48"/>
      <c r="G107" s="48"/>
      <c r="H107" s="11"/>
    </row>
    <row r="108" spans="1:8" s="43" customFormat="1" ht="21" x14ac:dyDescent="0.25">
      <c r="A108" s="42" t="s">
        <v>688</v>
      </c>
      <c r="D108" s="49"/>
      <c r="E108" s="48"/>
      <c r="F108" s="48"/>
      <c r="G108" s="48"/>
      <c r="H108" s="11"/>
    </row>
    <row r="109" spans="1:8" s="43" customFormat="1" ht="21" x14ac:dyDescent="0.25">
      <c r="A109" s="52" t="s">
        <v>687</v>
      </c>
      <c r="D109" s="49">
        <v>1</v>
      </c>
      <c r="E109" s="48" t="s">
        <v>155</v>
      </c>
      <c r="F109" s="48"/>
      <c r="G109" s="48"/>
      <c r="H109" s="11" t="s">
        <v>554</v>
      </c>
    </row>
    <row r="110" spans="1:8" s="43" customFormat="1" ht="21" x14ac:dyDescent="0.25">
      <c r="A110" s="52" t="s">
        <v>685</v>
      </c>
      <c r="D110" s="49">
        <v>1</v>
      </c>
      <c r="E110" s="48" t="s">
        <v>155</v>
      </c>
      <c r="F110" s="48"/>
      <c r="G110" s="48"/>
      <c r="H110" s="11" t="s">
        <v>554</v>
      </c>
    </row>
    <row r="111" spans="1:8" s="43" customFormat="1" ht="21" x14ac:dyDescent="0.25">
      <c r="A111" s="52" t="s">
        <v>686</v>
      </c>
      <c r="D111" s="49">
        <v>1</v>
      </c>
      <c r="E111" s="48" t="s">
        <v>155</v>
      </c>
      <c r="F111" s="48"/>
      <c r="G111" s="48"/>
      <c r="H111" s="11" t="s">
        <v>554</v>
      </c>
    </row>
    <row r="112" spans="1:8" s="93" customFormat="1" ht="21" x14ac:dyDescent="0.25">
      <c r="A112" s="42" t="s">
        <v>697</v>
      </c>
      <c r="D112" s="94"/>
      <c r="E112" s="95"/>
      <c r="F112" s="95"/>
      <c r="G112" s="95"/>
      <c r="H112" s="96"/>
    </row>
    <row r="113" spans="1:8" s="93" customFormat="1" ht="21" x14ac:dyDescent="0.25">
      <c r="A113" s="42" t="s">
        <v>702</v>
      </c>
      <c r="D113" s="49">
        <v>1</v>
      </c>
      <c r="E113" s="48" t="s">
        <v>155</v>
      </c>
      <c r="F113" s="48"/>
      <c r="G113" s="48"/>
      <c r="H113" s="11" t="s">
        <v>553</v>
      </c>
    </row>
    <row r="114" spans="1:8" s="93" customFormat="1" ht="21" x14ac:dyDescent="0.25">
      <c r="A114" s="42" t="s">
        <v>705</v>
      </c>
      <c r="D114" s="49">
        <v>1</v>
      </c>
      <c r="E114" s="48" t="s">
        <v>155</v>
      </c>
      <c r="F114" s="48"/>
      <c r="G114" s="48"/>
      <c r="H114" s="11" t="s">
        <v>553</v>
      </c>
    </row>
    <row r="115" spans="1:8" s="93" customFormat="1" ht="21" x14ac:dyDescent="0.25">
      <c r="A115" s="42" t="s">
        <v>704</v>
      </c>
      <c r="D115" s="49">
        <v>1</v>
      </c>
      <c r="E115" s="48" t="s">
        <v>155</v>
      </c>
      <c r="F115" s="48"/>
      <c r="G115" s="48"/>
      <c r="H115" s="11" t="s">
        <v>553</v>
      </c>
    </row>
    <row r="116" spans="1:8" s="43" customFormat="1" ht="21" x14ac:dyDescent="0.25">
      <c r="A116" s="52" t="s">
        <v>696</v>
      </c>
      <c r="D116" s="49">
        <v>1</v>
      </c>
      <c r="E116" s="48" t="s">
        <v>155</v>
      </c>
      <c r="F116" s="48"/>
      <c r="G116" s="48"/>
      <c r="H116" s="11" t="s">
        <v>553</v>
      </c>
    </row>
    <row r="117" spans="1:8" s="43" customFormat="1" ht="21" x14ac:dyDescent="0.25">
      <c r="A117" s="52" t="s">
        <v>698</v>
      </c>
      <c r="D117" s="49">
        <v>1</v>
      </c>
      <c r="E117" s="48" t="s">
        <v>155</v>
      </c>
      <c r="F117" s="48"/>
      <c r="G117" s="48"/>
      <c r="H117" s="11" t="s">
        <v>553</v>
      </c>
    </row>
    <row r="118" spans="1:8" s="43" customFormat="1" ht="21" x14ac:dyDescent="0.25">
      <c r="A118" s="52" t="s">
        <v>699</v>
      </c>
      <c r="D118" s="49">
        <v>1</v>
      </c>
      <c r="E118" s="48" t="s">
        <v>155</v>
      </c>
      <c r="F118" s="48"/>
      <c r="G118" s="48"/>
      <c r="H118" s="11" t="s">
        <v>553</v>
      </c>
    </row>
    <row r="119" spans="1:8" s="43" customFormat="1" ht="21" x14ac:dyDescent="0.25">
      <c r="A119" s="42" t="s">
        <v>701</v>
      </c>
      <c r="D119" s="49"/>
      <c r="E119" s="48"/>
      <c r="F119" s="48"/>
      <c r="G119" s="48"/>
      <c r="H119" s="11"/>
    </row>
    <row r="120" spans="1:8" s="43" customFormat="1" ht="21" x14ac:dyDescent="0.25">
      <c r="A120" s="52" t="s">
        <v>700</v>
      </c>
      <c r="D120" s="49">
        <v>1</v>
      </c>
      <c r="E120" s="48" t="s">
        <v>155</v>
      </c>
      <c r="F120" s="48"/>
      <c r="G120" s="48"/>
      <c r="H120" s="11" t="s">
        <v>555</v>
      </c>
    </row>
    <row r="121" spans="1:8" s="43" customFormat="1" ht="21" x14ac:dyDescent="0.25">
      <c r="A121" s="52" t="s">
        <v>703</v>
      </c>
      <c r="D121" s="49">
        <v>1</v>
      </c>
      <c r="E121" s="48" t="s">
        <v>155</v>
      </c>
      <c r="F121" s="48"/>
      <c r="G121" s="48"/>
      <c r="H121" s="11" t="s">
        <v>555</v>
      </c>
    </row>
    <row r="122" spans="1:8" s="43" customFormat="1" ht="21" x14ac:dyDescent="0.25">
      <c r="A122" s="52"/>
      <c r="D122" s="49"/>
      <c r="E122" s="48"/>
      <c r="F122" s="48"/>
      <c r="G122" s="48"/>
      <c r="H122" s="11"/>
    </row>
    <row r="123" spans="1:8" s="43" customFormat="1" ht="21" x14ac:dyDescent="0.25">
      <c r="A123" s="42" t="s">
        <v>706</v>
      </c>
      <c r="D123" s="49"/>
      <c r="E123" s="48"/>
      <c r="F123" s="48"/>
      <c r="G123" s="48"/>
      <c r="H123" s="11"/>
    </row>
    <row r="124" spans="1:8" s="43" customFormat="1" ht="21" x14ac:dyDescent="0.25">
      <c r="A124" s="52" t="s">
        <v>707</v>
      </c>
      <c r="D124" s="49">
        <v>1</v>
      </c>
      <c r="E124" s="48" t="s">
        <v>155</v>
      </c>
      <c r="F124" s="48"/>
      <c r="G124" s="48"/>
      <c r="H124" s="11" t="s">
        <v>556</v>
      </c>
    </row>
    <row r="125" spans="1:8" s="43" customFormat="1" ht="21" x14ac:dyDescent="0.25">
      <c r="A125" s="52" t="s">
        <v>708</v>
      </c>
      <c r="D125" s="49">
        <v>1</v>
      </c>
      <c r="E125" s="48" t="s">
        <v>155</v>
      </c>
      <c r="F125" s="48"/>
      <c r="G125" s="48"/>
      <c r="H125" s="11" t="s">
        <v>556</v>
      </c>
    </row>
    <row r="126" spans="1:8" s="43" customFormat="1" ht="21" x14ac:dyDescent="0.25">
      <c r="A126" s="42" t="s">
        <v>533</v>
      </c>
      <c r="D126" s="49"/>
      <c r="E126" s="48"/>
      <c r="F126" s="48"/>
      <c r="G126" s="48"/>
      <c r="H126" s="11"/>
    </row>
    <row r="127" spans="1:8" s="43" customFormat="1" ht="21" x14ac:dyDescent="0.25">
      <c r="A127" s="52" t="s">
        <v>549</v>
      </c>
      <c r="D127" s="49">
        <v>1</v>
      </c>
      <c r="E127" s="48" t="s">
        <v>155</v>
      </c>
      <c r="F127" s="48"/>
      <c r="G127" s="48" t="s">
        <v>550</v>
      </c>
      <c r="H127" s="11" t="s">
        <v>534</v>
      </c>
    </row>
    <row r="128" spans="1:8" s="43" customFormat="1" ht="21" x14ac:dyDescent="0.25">
      <c r="A128" s="52" t="s">
        <v>535</v>
      </c>
      <c r="D128" s="49">
        <v>1</v>
      </c>
      <c r="E128" s="48" t="s">
        <v>155</v>
      </c>
      <c r="F128" s="48"/>
      <c r="G128" s="53" t="s">
        <v>536</v>
      </c>
      <c r="H128" s="11" t="s">
        <v>534</v>
      </c>
    </row>
    <row r="129" spans="1:10" s="43" customFormat="1" ht="21" x14ac:dyDescent="0.25">
      <c r="A129" s="52" t="s">
        <v>532</v>
      </c>
      <c r="D129" s="49">
        <v>1</v>
      </c>
      <c r="E129" s="48" t="s">
        <v>155</v>
      </c>
      <c r="F129" s="48"/>
      <c r="G129" s="48" t="s">
        <v>520</v>
      </c>
      <c r="H129" s="11" t="s">
        <v>534</v>
      </c>
    </row>
    <row r="130" spans="1:10" s="43" customFormat="1" ht="21" x14ac:dyDescent="0.25">
      <c r="A130" s="52" t="s">
        <v>537</v>
      </c>
      <c r="D130" s="49">
        <v>1</v>
      </c>
      <c r="E130" s="48" t="s">
        <v>155</v>
      </c>
      <c r="F130" s="48"/>
      <c r="G130" s="48" t="s">
        <v>520</v>
      </c>
      <c r="H130" s="11" t="s">
        <v>534</v>
      </c>
    </row>
    <row r="131" spans="1:10" s="43" customFormat="1" ht="21" x14ac:dyDescent="0.25">
      <c r="A131" s="42" t="s">
        <v>545</v>
      </c>
      <c r="D131" s="49"/>
      <c r="E131" s="48"/>
      <c r="F131" s="48"/>
      <c r="G131" s="48"/>
      <c r="H131" s="11"/>
    </row>
    <row r="132" spans="1:10" s="43" customFormat="1" ht="21" x14ac:dyDescent="0.25">
      <c r="A132" s="52" t="s">
        <v>539</v>
      </c>
      <c r="D132" s="49">
        <v>1</v>
      </c>
      <c r="E132" s="48" t="s">
        <v>155</v>
      </c>
      <c r="F132" s="48"/>
      <c r="G132" s="48" t="s">
        <v>546</v>
      </c>
      <c r="H132" s="11" t="s">
        <v>544</v>
      </c>
    </row>
    <row r="133" spans="1:10" s="43" customFormat="1" ht="21" x14ac:dyDescent="0.25">
      <c r="A133" s="52" t="s">
        <v>547</v>
      </c>
      <c r="D133" s="49">
        <v>1</v>
      </c>
      <c r="E133" s="48" t="s">
        <v>155</v>
      </c>
      <c r="F133" s="48"/>
      <c r="G133" s="48" t="s">
        <v>548</v>
      </c>
      <c r="H133" s="11" t="s">
        <v>544</v>
      </c>
    </row>
    <row r="134" spans="1:10" ht="21" x14ac:dyDescent="0.25">
      <c r="A134" s="42" t="s">
        <v>322</v>
      </c>
      <c r="D134" s="49"/>
    </row>
    <row r="135" spans="1:10" x14ac:dyDescent="0.2">
      <c r="A135" s="48" t="s">
        <v>504</v>
      </c>
      <c r="D135" s="49"/>
    </row>
    <row r="136" spans="1:10" s="20" customFormat="1" x14ac:dyDescent="0.2">
      <c r="A136" s="20" t="s">
        <v>527</v>
      </c>
      <c r="D136" s="32"/>
    </row>
    <row r="137" spans="1:10" s="20" customFormat="1" x14ac:dyDescent="0.2">
      <c r="A137" s="20" t="s">
        <v>539</v>
      </c>
      <c r="D137" s="49">
        <v>1</v>
      </c>
      <c r="E137" s="48" t="s">
        <v>155</v>
      </c>
      <c r="H137" s="20" t="s">
        <v>542</v>
      </c>
      <c r="I137" s="20" t="s">
        <v>521</v>
      </c>
      <c r="J137" s="20" t="s">
        <v>538</v>
      </c>
    </row>
    <row r="138" spans="1:10" x14ac:dyDescent="0.2">
      <c r="D138" s="49"/>
    </row>
    <row r="139" spans="1:10" x14ac:dyDescent="0.2">
      <c r="D139" s="49"/>
    </row>
    <row r="140" spans="1:10" ht="21" x14ac:dyDescent="0.25">
      <c r="A140" s="25" t="s">
        <v>221</v>
      </c>
      <c r="D140" s="49">
        <v>1</v>
      </c>
      <c r="E140" s="48" t="s">
        <v>155</v>
      </c>
    </row>
    <row r="141" spans="1:10" ht="21" x14ac:dyDescent="0.25">
      <c r="A141" s="25" t="s">
        <v>709</v>
      </c>
      <c r="D141" s="49">
        <v>1</v>
      </c>
      <c r="E141" s="48" t="s">
        <v>155</v>
      </c>
      <c r="I141" s="92" t="s">
        <v>710</v>
      </c>
    </row>
    <row r="142" spans="1:10" x14ac:dyDescent="0.2">
      <c r="A142" s="48" t="s">
        <v>222</v>
      </c>
      <c r="D142" s="49">
        <v>1</v>
      </c>
      <c r="E142" s="48" t="s">
        <v>155</v>
      </c>
      <c r="I142" s="48" t="s">
        <v>67</v>
      </c>
      <c r="J142" s="48" t="s">
        <v>123</v>
      </c>
    </row>
    <row r="143" spans="1:10" x14ac:dyDescent="0.2">
      <c r="A143" s="48" t="s">
        <v>223</v>
      </c>
      <c r="D143" s="49">
        <v>1</v>
      </c>
      <c r="E143" s="48" t="s">
        <v>155</v>
      </c>
      <c r="I143" s="48" t="s">
        <v>67</v>
      </c>
      <c r="J143" s="48" t="s">
        <v>126</v>
      </c>
    </row>
    <row r="144" spans="1:10" x14ac:dyDescent="0.2">
      <c r="A144" s="48" t="s">
        <v>196</v>
      </c>
      <c r="D144" s="49">
        <v>1</v>
      </c>
      <c r="E144" s="48" t="s">
        <v>155</v>
      </c>
      <c r="I144" s="48" t="s">
        <v>67</v>
      </c>
      <c r="J144" s="48" t="s">
        <v>124</v>
      </c>
    </row>
    <row r="145" spans="1:10" x14ac:dyDescent="0.2">
      <c r="A145" s="48" t="s">
        <v>224</v>
      </c>
      <c r="D145" s="49">
        <v>1</v>
      </c>
      <c r="E145" s="48" t="s">
        <v>155</v>
      </c>
      <c r="I145" s="48" t="s">
        <v>105</v>
      </c>
      <c r="J145" s="48" t="s">
        <v>58</v>
      </c>
    </row>
    <row r="146" spans="1:10" x14ac:dyDescent="0.2">
      <c r="A146" s="48" t="s">
        <v>225</v>
      </c>
      <c r="D146" s="49">
        <v>1</v>
      </c>
      <c r="E146" s="48" t="s">
        <v>155</v>
      </c>
      <c r="I146" s="48" t="s">
        <v>105</v>
      </c>
      <c r="J146" s="48" t="s">
        <v>134</v>
      </c>
    </row>
    <row r="147" spans="1:10" x14ac:dyDescent="0.2">
      <c r="A147" s="48" t="s">
        <v>198</v>
      </c>
    </row>
    <row r="148" spans="1:10" x14ac:dyDescent="0.2">
      <c r="A148" s="48" t="s">
        <v>339</v>
      </c>
      <c r="D148" s="49">
        <v>1</v>
      </c>
      <c r="E148" s="48" t="s">
        <v>155</v>
      </c>
      <c r="I148" s="48" t="s">
        <v>68</v>
      </c>
      <c r="J148" s="48" t="s">
        <v>60</v>
      </c>
    </row>
    <row r="149" spans="1:10" x14ac:dyDescent="0.2">
      <c r="A149" s="48" t="s">
        <v>339</v>
      </c>
      <c r="D149" s="49">
        <v>1</v>
      </c>
      <c r="E149" s="48" t="s">
        <v>155</v>
      </c>
      <c r="I149" s="48" t="s">
        <v>68</v>
      </c>
      <c r="J149" s="48" t="s">
        <v>93</v>
      </c>
    </row>
    <row r="150" spans="1:10" x14ac:dyDescent="0.2">
      <c r="A150" s="48" t="s">
        <v>161</v>
      </c>
    </row>
    <row r="151" spans="1:10" ht="21" x14ac:dyDescent="0.25">
      <c r="A151" s="26" t="s">
        <v>321</v>
      </c>
    </row>
    <row r="152" spans="1:10" x14ac:dyDescent="0.2">
      <c r="A152" s="48" t="s">
        <v>199</v>
      </c>
    </row>
    <row r="153" spans="1:10" x14ac:dyDescent="0.2">
      <c r="A153" s="48" t="s">
        <v>689</v>
      </c>
      <c r="D153" s="49">
        <v>1</v>
      </c>
      <c r="E153" s="48" t="s">
        <v>155</v>
      </c>
      <c r="I153" s="48" t="s">
        <v>104</v>
      </c>
      <c r="J153" s="48" t="s">
        <v>401</v>
      </c>
    </row>
    <row r="154" spans="1:10" x14ac:dyDescent="0.2">
      <c r="A154" s="48" t="s">
        <v>505</v>
      </c>
      <c r="D154" s="49">
        <v>1</v>
      </c>
      <c r="E154" s="48" t="s">
        <v>155</v>
      </c>
      <c r="I154" s="48" t="s">
        <v>104</v>
      </c>
      <c r="J154" s="48" t="s">
        <v>404</v>
      </c>
    </row>
    <row r="155" spans="1:10" x14ac:dyDescent="0.2">
      <c r="B155" s="48" t="s">
        <v>506</v>
      </c>
      <c r="D155" s="49">
        <v>1</v>
      </c>
      <c r="E155" s="48" t="s">
        <v>155</v>
      </c>
      <c r="I155" s="48" t="s">
        <v>104</v>
      </c>
      <c r="J155" s="48" t="s">
        <v>404</v>
      </c>
    </row>
    <row r="156" spans="1:10" x14ac:dyDescent="0.2">
      <c r="A156" s="48" t="s">
        <v>200</v>
      </c>
      <c r="D156" s="49">
        <v>1</v>
      </c>
      <c r="E156" s="48" t="s">
        <v>155</v>
      </c>
      <c r="I156" s="48" t="s">
        <v>104</v>
      </c>
      <c r="J156" s="48" t="s">
        <v>498</v>
      </c>
    </row>
    <row r="157" spans="1:10" x14ac:dyDescent="0.2">
      <c r="A157" s="48" t="s">
        <v>159</v>
      </c>
      <c r="D157" s="49">
        <v>1</v>
      </c>
      <c r="E157" s="48" t="s">
        <v>155</v>
      </c>
      <c r="I157" s="48" t="s">
        <v>104</v>
      </c>
      <c r="J157" s="48" t="s">
        <v>498</v>
      </c>
    </row>
    <row r="158" spans="1:10" x14ac:dyDescent="0.2">
      <c r="A158" s="48" t="s">
        <v>201</v>
      </c>
      <c r="D158" s="49">
        <v>1</v>
      </c>
      <c r="E158" s="48" t="s">
        <v>155</v>
      </c>
      <c r="I158" s="48" t="s">
        <v>104</v>
      </c>
      <c r="J158" s="48" t="s">
        <v>498</v>
      </c>
    </row>
    <row r="159" spans="1:10" x14ac:dyDescent="0.2">
      <c r="A159" s="48" t="s">
        <v>249</v>
      </c>
      <c r="D159" s="49">
        <v>1</v>
      </c>
      <c r="E159" s="48" t="s">
        <v>155</v>
      </c>
      <c r="I159" s="48" t="s">
        <v>104</v>
      </c>
      <c r="J159" s="92" t="s">
        <v>404</v>
      </c>
    </row>
    <row r="160" spans="1:10" x14ac:dyDescent="0.2">
      <c r="A160" s="48" t="s">
        <v>251</v>
      </c>
      <c r="D160" s="49">
        <v>1</v>
      </c>
      <c r="E160" s="48" t="s">
        <v>155</v>
      </c>
      <c r="I160" s="48" t="s">
        <v>232</v>
      </c>
      <c r="J160" s="48" t="s">
        <v>250</v>
      </c>
    </row>
    <row r="161" spans="1:10" x14ac:dyDescent="0.2">
      <c r="A161" s="48" t="s">
        <v>252</v>
      </c>
      <c r="D161" s="49">
        <v>1</v>
      </c>
      <c r="E161" s="48" t="s">
        <v>155</v>
      </c>
      <c r="I161" s="48" t="s">
        <v>232</v>
      </c>
      <c r="J161" s="48" t="s">
        <v>62</v>
      </c>
    </row>
    <row r="162" spans="1:10" x14ac:dyDescent="0.2">
      <c r="A162" s="48" t="s">
        <v>506</v>
      </c>
      <c r="D162" s="49">
        <v>1</v>
      </c>
      <c r="E162" s="48" t="s">
        <v>155</v>
      </c>
      <c r="I162" s="48" t="s">
        <v>232</v>
      </c>
      <c r="J162" s="48" t="s">
        <v>62</v>
      </c>
    </row>
    <row r="163" spans="1:10" x14ac:dyDescent="0.2">
      <c r="A163" s="48" t="s">
        <v>202</v>
      </c>
    </row>
    <row r="164" spans="1:10" x14ac:dyDescent="0.2">
      <c r="A164" s="48" t="s">
        <v>454</v>
      </c>
    </row>
    <row r="165" spans="1:10" x14ac:dyDescent="0.2">
      <c r="A165" s="48" t="s">
        <v>455</v>
      </c>
      <c r="D165" s="49">
        <v>1</v>
      </c>
      <c r="E165" s="48" t="s">
        <v>155</v>
      </c>
      <c r="I165" s="48" t="s">
        <v>71</v>
      </c>
      <c r="J165" s="48" t="s">
        <v>269</v>
      </c>
    </row>
    <row r="166" spans="1:10" x14ac:dyDescent="0.2">
      <c r="A166" s="48" t="s">
        <v>456</v>
      </c>
      <c r="D166" s="49">
        <v>1</v>
      </c>
      <c r="E166" s="48" t="s">
        <v>155</v>
      </c>
      <c r="I166" s="48" t="s">
        <v>71</v>
      </c>
      <c r="J166" s="48" t="s">
        <v>236</v>
      </c>
    </row>
    <row r="167" spans="1:10" x14ac:dyDescent="0.2">
      <c r="A167" s="48" t="s">
        <v>456</v>
      </c>
      <c r="D167" s="49">
        <v>1</v>
      </c>
      <c r="E167" s="48" t="s">
        <v>155</v>
      </c>
      <c r="I167" s="48" t="s">
        <v>71</v>
      </c>
      <c r="J167" s="48" t="s">
        <v>416</v>
      </c>
    </row>
    <row r="168" spans="1:10" x14ac:dyDescent="0.2">
      <c r="A168" s="48" t="s">
        <v>457</v>
      </c>
      <c r="D168" s="49">
        <v>1</v>
      </c>
      <c r="E168" s="48" t="s">
        <v>155</v>
      </c>
      <c r="I168" s="48" t="s">
        <v>71</v>
      </c>
      <c r="J168" s="48" t="s">
        <v>416</v>
      </c>
    </row>
    <row r="169" spans="1:10" x14ac:dyDescent="0.2">
      <c r="A169" s="48" t="s">
        <v>458</v>
      </c>
      <c r="D169" s="49">
        <v>1</v>
      </c>
      <c r="E169" s="48" t="s">
        <v>155</v>
      </c>
      <c r="I169" s="48" t="s">
        <v>71</v>
      </c>
      <c r="J169" s="48" t="s">
        <v>416</v>
      </c>
    </row>
    <row r="170" spans="1:10" x14ac:dyDescent="0.2">
      <c r="A170" s="48" t="s">
        <v>459</v>
      </c>
      <c r="D170" s="49">
        <v>1</v>
      </c>
      <c r="E170" s="48" t="s">
        <v>155</v>
      </c>
      <c r="I170" s="48" t="s">
        <v>71</v>
      </c>
      <c r="J170" s="48" t="s">
        <v>419</v>
      </c>
    </row>
    <row r="171" spans="1:10" x14ac:dyDescent="0.2">
      <c r="A171" s="48" t="s">
        <v>204</v>
      </c>
      <c r="D171" s="49">
        <v>2</v>
      </c>
      <c r="E171" s="48" t="s">
        <v>155</v>
      </c>
      <c r="I171" s="48" t="s">
        <v>71</v>
      </c>
      <c r="J171" s="48" t="s">
        <v>419</v>
      </c>
    </row>
    <row r="172" spans="1:10" x14ac:dyDescent="0.2">
      <c r="A172" s="48" t="s">
        <v>179</v>
      </c>
      <c r="D172" s="49">
        <v>1</v>
      </c>
      <c r="E172" s="48" t="s">
        <v>155</v>
      </c>
      <c r="I172" s="48" t="s">
        <v>137</v>
      </c>
      <c r="J172" s="48" t="s">
        <v>58</v>
      </c>
    </row>
    <row r="173" spans="1:10" x14ac:dyDescent="0.2">
      <c r="A173" s="48" t="s">
        <v>205</v>
      </c>
      <c r="D173" s="49">
        <v>1</v>
      </c>
      <c r="E173" s="48" t="s">
        <v>155</v>
      </c>
      <c r="I173" s="48" t="s">
        <v>137</v>
      </c>
      <c r="J173" s="48" t="s">
        <v>284</v>
      </c>
    </row>
    <row r="174" spans="1:10" x14ac:dyDescent="0.2">
      <c r="A174" s="48" t="s">
        <v>375</v>
      </c>
      <c r="D174" s="49">
        <v>1</v>
      </c>
      <c r="E174" s="48" t="s">
        <v>155</v>
      </c>
      <c r="G174" s="48" t="s">
        <v>376</v>
      </c>
      <c r="I174" s="48" t="s">
        <v>327</v>
      </c>
    </row>
    <row r="175" spans="1:10" x14ac:dyDescent="0.2">
      <c r="A175" s="48" t="s">
        <v>386</v>
      </c>
      <c r="D175" s="49">
        <v>1</v>
      </c>
      <c r="E175" s="48" t="s">
        <v>155</v>
      </c>
      <c r="I175" s="48" t="s">
        <v>384</v>
      </c>
      <c r="J175" s="48" t="s">
        <v>61</v>
      </c>
    </row>
    <row r="176" spans="1:10" x14ac:dyDescent="0.2">
      <c r="A176" s="48" t="s">
        <v>434</v>
      </c>
      <c r="D176" s="49">
        <v>1</v>
      </c>
      <c r="E176" s="48" t="s">
        <v>155</v>
      </c>
      <c r="G176" s="48" t="s">
        <v>438</v>
      </c>
      <c r="I176" s="48" t="s">
        <v>384</v>
      </c>
      <c r="J176" s="48" t="s">
        <v>394</v>
      </c>
    </row>
    <row r="177" spans="1:10" x14ac:dyDescent="0.2">
      <c r="A177" s="48" t="s">
        <v>442</v>
      </c>
      <c r="D177" s="49">
        <v>1</v>
      </c>
      <c r="E177" s="48" t="s">
        <v>155</v>
      </c>
      <c r="G177" s="48" t="s">
        <v>437</v>
      </c>
      <c r="I177" s="48" t="s">
        <v>384</v>
      </c>
      <c r="J177" s="48" t="s">
        <v>394</v>
      </c>
    </row>
    <row r="178" spans="1:10" x14ac:dyDescent="0.2">
      <c r="A178" s="48" t="s">
        <v>435</v>
      </c>
      <c r="D178" s="49">
        <v>1</v>
      </c>
      <c r="E178" s="48" t="s">
        <v>155</v>
      </c>
      <c r="I178" s="48" t="s">
        <v>384</v>
      </c>
      <c r="J178" s="48" t="s">
        <v>60</v>
      </c>
    </row>
    <row r="179" spans="1:10" x14ac:dyDescent="0.2">
      <c r="A179" s="48" t="s">
        <v>194</v>
      </c>
      <c r="D179" s="49">
        <v>1</v>
      </c>
      <c r="E179" s="48" t="s">
        <v>155</v>
      </c>
      <c r="I179" s="48" t="s">
        <v>237</v>
      </c>
      <c r="J179" s="48" t="s">
        <v>58</v>
      </c>
    </row>
    <row r="180" spans="1:10" x14ac:dyDescent="0.2">
      <c r="A180" s="48" t="s">
        <v>378</v>
      </c>
      <c r="D180" s="49">
        <v>1</v>
      </c>
      <c r="E180" s="48" t="s">
        <v>155</v>
      </c>
      <c r="I180" s="48" t="s">
        <v>237</v>
      </c>
      <c r="J180" s="48" t="s">
        <v>236</v>
      </c>
    </row>
    <row r="181" spans="1:10" x14ac:dyDescent="0.2">
      <c r="A181" s="48" t="s">
        <v>161</v>
      </c>
      <c r="D181" s="49"/>
    </row>
    <row r="182" spans="1:10" x14ac:dyDescent="0.2">
      <c r="A182" s="48" t="s">
        <v>206</v>
      </c>
    </row>
    <row r="183" spans="1:10" x14ac:dyDescent="0.2">
      <c r="A183" s="48" t="s">
        <v>380</v>
      </c>
      <c r="D183" s="49">
        <v>1</v>
      </c>
      <c r="E183" s="48" t="s">
        <v>155</v>
      </c>
      <c r="G183" s="48" t="s">
        <v>381</v>
      </c>
      <c r="I183" s="48" t="s">
        <v>72</v>
      </c>
      <c r="J183" s="48" t="s">
        <v>98</v>
      </c>
    </row>
    <row r="184" spans="1:10" x14ac:dyDescent="0.2">
      <c r="A184" s="48" t="s">
        <v>189</v>
      </c>
      <c r="D184" s="49">
        <v>1</v>
      </c>
      <c r="E184" s="48" t="s">
        <v>155</v>
      </c>
      <c r="G184" s="48" t="s">
        <v>207</v>
      </c>
      <c r="I184" s="48" t="s">
        <v>72</v>
      </c>
      <c r="J184" s="48" t="s">
        <v>98</v>
      </c>
    </row>
    <row r="185" spans="1:10" x14ac:dyDescent="0.2">
      <c r="A185" s="48" t="s">
        <v>208</v>
      </c>
      <c r="D185" s="49">
        <v>1</v>
      </c>
      <c r="E185" s="48" t="s">
        <v>155</v>
      </c>
      <c r="G185" s="48" t="s">
        <v>209</v>
      </c>
      <c r="I185" s="48" t="s">
        <v>72</v>
      </c>
      <c r="J185" s="48" t="s">
        <v>98</v>
      </c>
    </row>
    <row r="186" spans="1:10" x14ac:dyDescent="0.2">
      <c r="A186" s="48" t="s">
        <v>165</v>
      </c>
      <c r="D186" s="49">
        <v>1</v>
      </c>
      <c r="E186" s="48" t="s">
        <v>155</v>
      </c>
      <c r="G186" s="48" t="s">
        <v>203</v>
      </c>
      <c r="I186" s="48" t="s">
        <v>72</v>
      </c>
      <c r="J186" s="48" t="s">
        <v>98</v>
      </c>
    </row>
    <row r="187" spans="1:10" x14ac:dyDescent="0.2">
      <c r="A187" s="48" t="s">
        <v>210</v>
      </c>
      <c r="D187" s="49">
        <v>1</v>
      </c>
      <c r="E187" s="48" t="s">
        <v>155</v>
      </c>
      <c r="I187" s="48" t="s">
        <v>72</v>
      </c>
      <c r="J187" s="48" t="s">
        <v>99</v>
      </c>
    </row>
    <row r="188" spans="1:10" x14ac:dyDescent="0.2">
      <c r="A188" s="48" t="s">
        <v>379</v>
      </c>
      <c r="D188" s="49">
        <v>1</v>
      </c>
      <c r="E188" s="48" t="s">
        <v>155</v>
      </c>
      <c r="I188" s="48" t="s">
        <v>72</v>
      </c>
      <c r="J188" s="48" t="s">
        <v>99</v>
      </c>
    </row>
    <row r="189" spans="1:10" x14ac:dyDescent="0.2">
      <c r="A189" s="48" t="s">
        <v>208</v>
      </c>
      <c r="D189" s="49">
        <v>1</v>
      </c>
      <c r="E189" s="48" t="s">
        <v>155</v>
      </c>
      <c r="G189" s="48" t="s">
        <v>209</v>
      </c>
      <c r="I189" s="48" t="s">
        <v>74</v>
      </c>
      <c r="J189" s="48" t="s">
        <v>60</v>
      </c>
    </row>
    <row r="190" spans="1:10" x14ac:dyDescent="0.2">
      <c r="A190" s="48" t="s">
        <v>684</v>
      </c>
      <c r="D190" s="49">
        <v>1</v>
      </c>
      <c r="E190" s="48" t="s">
        <v>155</v>
      </c>
      <c r="G190" s="92" t="s">
        <v>291</v>
      </c>
      <c r="I190" s="48" t="s">
        <v>74</v>
      </c>
      <c r="J190" s="48" t="s">
        <v>60</v>
      </c>
    </row>
    <row r="191" spans="1:10" x14ac:dyDescent="0.2">
      <c r="A191" s="48" t="s">
        <v>443</v>
      </c>
      <c r="D191" s="49">
        <v>1</v>
      </c>
      <c r="E191" s="48" t="s">
        <v>155</v>
      </c>
      <c r="I191" s="48" t="s">
        <v>73</v>
      </c>
      <c r="J191" s="48" t="s">
        <v>61</v>
      </c>
    </row>
    <row r="192" spans="1:10" x14ac:dyDescent="0.2">
      <c r="A192" s="48" t="s">
        <v>377</v>
      </c>
      <c r="D192" s="49">
        <v>1</v>
      </c>
      <c r="E192" s="48" t="s">
        <v>155</v>
      </c>
      <c r="I192" s="48" t="s">
        <v>73</v>
      </c>
      <c r="J192" s="48" t="s">
        <v>61</v>
      </c>
    </row>
    <row r="193" spans="1:10" x14ac:dyDescent="0.2">
      <c r="A193" s="48" t="s">
        <v>161</v>
      </c>
    </row>
    <row r="194" spans="1:10" x14ac:dyDescent="0.2">
      <c r="A194" s="48" t="s">
        <v>206</v>
      </c>
    </row>
    <row r="195" spans="1:10" x14ac:dyDescent="0.2">
      <c r="A195" s="48" t="s">
        <v>281</v>
      </c>
      <c r="D195" s="49">
        <v>1</v>
      </c>
      <c r="E195" s="48" t="s">
        <v>155</v>
      </c>
      <c r="I195" s="48" t="s">
        <v>117</v>
      </c>
      <c r="J195" s="48" t="s">
        <v>258</v>
      </c>
    </row>
    <row r="196" spans="1:10" x14ac:dyDescent="0.2">
      <c r="A196" s="48" t="s">
        <v>211</v>
      </c>
      <c r="D196" s="49">
        <v>1</v>
      </c>
      <c r="E196" s="48" t="s">
        <v>155</v>
      </c>
      <c r="G196" s="48" t="s">
        <v>212</v>
      </c>
      <c r="I196" s="48" t="s">
        <v>117</v>
      </c>
      <c r="J196" s="48" t="s">
        <v>258</v>
      </c>
    </row>
    <row r="197" spans="1:10" x14ac:dyDescent="0.2">
      <c r="A197" s="48" t="s">
        <v>279</v>
      </c>
      <c r="D197" s="49">
        <v>1</v>
      </c>
      <c r="E197" s="48" t="s">
        <v>155</v>
      </c>
      <c r="G197" s="48" t="s">
        <v>213</v>
      </c>
      <c r="I197" s="48" t="s">
        <v>117</v>
      </c>
      <c r="J197" s="48" t="s">
        <v>260</v>
      </c>
    </row>
    <row r="198" spans="1:10" x14ac:dyDescent="0.2">
      <c r="A198" s="48" t="s">
        <v>280</v>
      </c>
      <c r="D198" s="49">
        <v>1</v>
      </c>
      <c r="E198" s="48" t="s">
        <v>155</v>
      </c>
      <c r="I198" s="48" t="s">
        <v>117</v>
      </c>
      <c r="J198" s="48" t="s">
        <v>259</v>
      </c>
    </row>
    <row r="199" spans="1:10" x14ac:dyDescent="0.2">
      <c r="A199" s="48" t="s">
        <v>282</v>
      </c>
      <c r="D199" s="49">
        <v>1</v>
      </c>
      <c r="E199" s="48" t="s">
        <v>155</v>
      </c>
      <c r="I199" s="48" t="s">
        <v>117</v>
      </c>
      <c r="J199" s="48" t="s">
        <v>261</v>
      </c>
    </row>
    <row r="200" spans="1:10" x14ac:dyDescent="0.2">
      <c r="D200" s="49"/>
    </row>
    <row r="201" spans="1:10" x14ac:dyDescent="0.2">
      <c r="A201" s="48" t="s">
        <v>211</v>
      </c>
      <c r="D201" s="49">
        <v>1</v>
      </c>
      <c r="E201" s="48" t="s">
        <v>155</v>
      </c>
      <c r="G201" s="48" t="s">
        <v>212</v>
      </c>
      <c r="I201" s="48" t="s">
        <v>72</v>
      </c>
      <c r="J201" s="48" t="s">
        <v>97</v>
      </c>
    </row>
    <row r="202" spans="1:10" x14ac:dyDescent="0.2">
      <c r="A202" s="48" t="s">
        <v>158</v>
      </c>
      <c r="D202" s="49">
        <v>1</v>
      </c>
      <c r="E202" s="48" t="s">
        <v>155</v>
      </c>
      <c r="G202" s="48" t="s">
        <v>77</v>
      </c>
      <c r="I202" s="48" t="s">
        <v>72</v>
      </c>
      <c r="J202" s="48" t="s">
        <v>97</v>
      </c>
    </row>
    <row r="203" spans="1:10" x14ac:dyDescent="0.2">
      <c r="A203" s="48" t="s">
        <v>158</v>
      </c>
      <c r="D203" s="49">
        <v>1</v>
      </c>
      <c r="E203" s="48" t="s">
        <v>155</v>
      </c>
      <c r="G203" s="48" t="s">
        <v>77</v>
      </c>
      <c r="I203" s="48" t="s">
        <v>74</v>
      </c>
      <c r="J203" s="48" t="s">
        <v>61</v>
      </c>
    </row>
    <row r="204" spans="1:10" x14ac:dyDescent="0.2">
      <c r="A204" s="48" t="s">
        <v>208</v>
      </c>
      <c r="D204" s="49">
        <v>1</v>
      </c>
      <c r="E204" s="48" t="s">
        <v>155</v>
      </c>
      <c r="I204" s="48" t="s">
        <v>74</v>
      </c>
      <c r="J204" s="48" t="s">
        <v>60</v>
      </c>
    </row>
    <row r="205" spans="1:10" x14ac:dyDescent="0.2">
      <c r="A205" s="48" t="s">
        <v>161</v>
      </c>
    </row>
    <row r="206" spans="1:10" ht="21" x14ac:dyDescent="0.25">
      <c r="A206" s="26" t="s">
        <v>214</v>
      </c>
    </row>
    <row r="207" spans="1:10" x14ac:dyDescent="0.2">
      <c r="A207" s="48" t="s">
        <v>215</v>
      </c>
      <c r="D207" s="49">
        <v>1</v>
      </c>
      <c r="E207" s="48" t="s">
        <v>155</v>
      </c>
      <c r="G207" s="48" t="s">
        <v>216</v>
      </c>
      <c r="I207" s="48" t="s">
        <v>69</v>
      </c>
      <c r="J207" s="48" t="s">
        <v>96</v>
      </c>
    </row>
    <row r="208" spans="1:10" x14ac:dyDescent="0.2">
      <c r="A208" s="48" t="s">
        <v>217</v>
      </c>
      <c r="D208" s="49">
        <v>1</v>
      </c>
      <c r="E208" s="48" t="s">
        <v>155</v>
      </c>
      <c r="G208" s="48" t="s">
        <v>216</v>
      </c>
      <c r="I208" s="48" t="s">
        <v>70</v>
      </c>
      <c r="J208" s="48" t="s">
        <v>56</v>
      </c>
    </row>
    <row r="209" spans="1:10" x14ac:dyDescent="0.2">
      <c r="A209" s="48" t="s">
        <v>218</v>
      </c>
      <c r="D209" s="49">
        <v>1</v>
      </c>
      <c r="E209" s="48" t="s">
        <v>155</v>
      </c>
      <c r="I209" s="48" t="s">
        <v>70</v>
      </c>
      <c r="J209" s="48" t="s">
        <v>55</v>
      </c>
    </row>
    <row r="210" spans="1:10" x14ac:dyDescent="0.2">
      <c r="A210" s="48" t="s">
        <v>369</v>
      </c>
      <c r="D210" s="49">
        <v>1</v>
      </c>
      <c r="E210" s="48" t="s">
        <v>155</v>
      </c>
      <c r="G210" s="48" t="s">
        <v>312</v>
      </c>
      <c r="I210" s="48" t="s">
        <v>70</v>
      </c>
      <c r="J210" s="48" t="s">
        <v>367</v>
      </c>
    </row>
    <row r="211" spans="1:10" x14ac:dyDescent="0.2">
      <c r="A211" s="48" t="s">
        <v>219</v>
      </c>
      <c r="D211" s="49">
        <v>1</v>
      </c>
      <c r="E211" s="48" t="s">
        <v>155</v>
      </c>
      <c r="I211" s="48" t="s">
        <v>70</v>
      </c>
      <c r="J211" s="48" t="s">
        <v>59</v>
      </c>
    </row>
    <row r="212" spans="1:10" x14ac:dyDescent="0.2">
      <c r="A212" s="48" t="s">
        <v>220</v>
      </c>
      <c r="D212" s="49">
        <v>1</v>
      </c>
      <c r="E212" s="48" t="s">
        <v>155</v>
      </c>
      <c r="I212" s="48" t="s">
        <v>57</v>
      </c>
      <c r="J212" s="48" t="s">
        <v>94</v>
      </c>
    </row>
    <row r="213" spans="1:10" x14ac:dyDescent="0.2">
      <c r="A213" s="48" t="s">
        <v>160</v>
      </c>
      <c r="D213" s="49">
        <v>1</v>
      </c>
      <c r="E213" s="48" t="s">
        <v>155</v>
      </c>
      <c r="I213" s="48" t="s">
        <v>57</v>
      </c>
      <c r="J213" s="48" t="s">
        <v>95</v>
      </c>
    </row>
    <row r="214" spans="1:10" x14ac:dyDescent="0.2">
      <c r="A214" s="48" t="s">
        <v>245</v>
      </c>
      <c r="D214" s="49">
        <v>1</v>
      </c>
      <c r="E214" s="48" t="s">
        <v>155</v>
      </c>
      <c r="I214" s="48" t="s">
        <v>244</v>
      </c>
      <c r="J214" s="48" t="s">
        <v>59</v>
      </c>
    </row>
    <row r="215" spans="1:10" x14ac:dyDescent="0.2">
      <c r="A215" s="48" t="s">
        <v>696</v>
      </c>
      <c r="D215" s="49">
        <v>1</v>
      </c>
      <c r="E215" s="48" t="s">
        <v>155</v>
      </c>
      <c r="I215" s="48" t="s">
        <v>244</v>
      </c>
      <c r="J215" s="92" t="s">
        <v>404</v>
      </c>
    </row>
    <row r="216" spans="1:10" x14ac:dyDescent="0.2">
      <c r="A216" s="48" t="s">
        <v>695</v>
      </c>
      <c r="D216" s="49">
        <v>1</v>
      </c>
      <c r="E216" s="48" t="s">
        <v>155</v>
      </c>
      <c r="I216" s="48" t="s">
        <v>244</v>
      </c>
      <c r="J216" s="92" t="s">
        <v>401</v>
      </c>
    </row>
    <row r="217" spans="1:10" x14ac:dyDescent="0.2">
      <c r="A217" s="48" t="s">
        <v>243</v>
      </c>
      <c r="D217" s="49">
        <v>1</v>
      </c>
      <c r="E217" s="48" t="s">
        <v>155</v>
      </c>
      <c r="I217" s="48" t="s">
        <v>244</v>
      </c>
      <c r="J217" s="92" t="s">
        <v>401</v>
      </c>
    </row>
    <row r="218" spans="1:10" x14ac:dyDescent="0.2">
      <c r="A218" s="48" t="s">
        <v>346</v>
      </c>
      <c r="D218" s="49">
        <v>1</v>
      </c>
      <c r="E218" s="48" t="s">
        <v>155</v>
      </c>
      <c r="I218" s="48" t="s">
        <v>316</v>
      </c>
      <c r="J218" s="48" t="s">
        <v>242</v>
      </c>
    </row>
    <row r="219" spans="1:10" x14ac:dyDescent="0.2">
      <c r="A219" s="48" t="s">
        <v>345</v>
      </c>
      <c r="D219" s="49">
        <v>1</v>
      </c>
      <c r="E219" s="48" t="s">
        <v>155</v>
      </c>
      <c r="I219" s="48" t="s">
        <v>316</v>
      </c>
      <c r="J219" s="48" t="s">
        <v>59</v>
      </c>
    </row>
    <row r="220" spans="1:10" x14ac:dyDescent="0.2">
      <c r="A220" s="48" t="s">
        <v>160</v>
      </c>
      <c r="D220" s="49">
        <v>1</v>
      </c>
      <c r="E220" s="48" t="s">
        <v>155</v>
      </c>
      <c r="I220" s="48" t="s">
        <v>397</v>
      </c>
      <c r="J220" s="48" t="s">
        <v>59</v>
      </c>
    </row>
    <row r="221" spans="1:10" x14ac:dyDescent="0.2">
      <c r="A221" s="92" t="s">
        <v>400</v>
      </c>
      <c r="D221" s="49">
        <v>1</v>
      </c>
      <c r="E221" s="48" t="s">
        <v>155</v>
      </c>
      <c r="I221" s="48" t="s">
        <v>397</v>
      </c>
      <c r="J221" s="48" t="s">
        <v>242</v>
      </c>
    </row>
    <row r="222" spans="1:10" x14ac:dyDescent="0.2">
      <c r="A222" s="48" t="s">
        <v>402</v>
      </c>
      <c r="D222" s="49">
        <v>1</v>
      </c>
      <c r="E222" s="48" t="s">
        <v>155</v>
      </c>
      <c r="I222" s="48" t="s">
        <v>396</v>
      </c>
      <c r="J222" s="48" t="s">
        <v>404</v>
      </c>
    </row>
    <row r="223" spans="1:10" x14ac:dyDescent="0.2">
      <c r="A223" s="48" t="s">
        <v>403</v>
      </c>
      <c r="D223" s="49">
        <v>1</v>
      </c>
      <c r="E223" s="48" t="s">
        <v>155</v>
      </c>
      <c r="I223" s="48" t="s">
        <v>396</v>
      </c>
      <c r="J223" s="48" t="s">
        <v>404</v>
      </c>
    </row>
    <row r="224" spans="1:10" x14ac:dyDescent="0.2">
      <c r="A224" s="48" t="s">
        <v>408</v>
      </c>
      <c r="D224" s="49">
        <v>1</v>
      </c>
      <c r="E224" s="48" t="s">
        <v>155</v>
      </c>
      <c r="I224" s="48" t="s">
        <v>396</v>
      </c>
      <c r="J224" s="48" t="s">
        <v>401</v>
      </c>
    </row>
    <row r="225" spans="1:10" x14ac:dyDescent="0.2">
      <c r="A225" s="48" t="s">
        <v>514</v>
      </c>
      <c r="D225" s="49">
        <v>1</v>
      </c>
      <c r="E225" s="48" t="s">
        <v>155</v>
      </c>
      <c r="I225" s="48" t="s">
        <v>396</v>
      </c>
      <c r="J225" s="48" t="s">
        <v>401</v>
      </c>
    </row>
    <row r="226" spans="1:10" x14ac:dyDescent="0.2">
      <c r="A226" s="92" t="s">
        <v>161</v>
      </c>
      <c r="D226" s="49"/>
    </row>
    <row r="227" spans="1:10" x14ac:dyDescent="0.2">
      <c r="A227" s="48" t="s">
        <v>692</v>
      </c>
      <c r="D227" s="49">
        <v>1</v>
      </c>
      <c r="E227" s="48" t="s">
        <v>155</v>
      </c>
      <c r="I227" s="92" t="s">
        <v>591</v>
      </c>
      <c r="J227" s="92" t="s">
        <v>59</v>
      </c>
    </row>
    <row r="228" spans="1:10" x14ac:dyDescent="0.2">
      <c r="A228" s="48" t="s">
        <v>693</v>
      </c>
      <c r="D228" s="49">
        <v>1</v>
      </c>
      <c r="E228" s="48" t="s">
        <v>155</v>
      </c>
      <c r="I228" s="92" t="s">
        <v>591</v>
      </c>
      <c r="J228" s="92" t="s">
        <v>242</v>
      </c>
    </row>
    <row r="229" spans="1:10" x14ac:dyDescent="0.2">
      <c r="A229" s="92" t="s">
        <v>161</v>
      </c>
      <c r="D229" s="49"/>
      <c r="I229" s="92"/>
      <c r="J229" s="92"/>
    </row>
    <row r="230" spans="1:10" x14ac:dyDescent="0.2">
      <c r="A230" s="48" t="s">
        <v>699</v>
      </c>
      <c r="D230" s="49">
        <v>1</v>
      </c>
      <c r="E230" s="48" t="s">
        <v>155</v>
      </c>
      <c r="I230" s="92" t="s">
        <v>667</v>
      </c>
      <c r="J230" s="92" t="s">
        <v>62</v>
      </c>
    </row>
    <row r="231" spans="1:10" x14ac:dyDescent="0.2">
      <c r="D231" s="49"/>
    </row>
    <row r="232" spans="1:10" x14ac:dyDescent="0.2">
      <c r="A232" s="48" t="s">
        <v>226</v>
      </c>
    </row>
    <row r="233" spans="1:10" x14ac:dyDescent="0.2">
      <c r="A233" s="48" t="s">
        <v>227</v>
      </c>
    </row>
    <row r="234" spans="1:10" x14ac:dyDescent="0.2">
      <c r="A234" s="48" t="s">
        <v>228</v>
      </c>
    </row>
    <row r="235" spans="1:10" x14ac:dyDescent="0.2">
      <c r="A235" s="48" t="s">
        <v>229</v>
      </c>
    </row>
    <row r="236" spans="1:10" x14ac:dyDescent="0.2">
      <c r="A236" s="48" t="s">
        <v>230</v>
      </c>
    </row>
    <row r="237" spans="1:10" x14ac:dyDescent="0.2">
      <c r="A237" s="48" t="s">
        <v>231</v>
      </c>
    </row>
    <row r="238" spans="1:10" ht="21" x14ac:dyDescent="0.25">
      <c r="A238" s="26" t="s">
        <v>348</v>
      </c>
    </row>
    <row r="239" spans="1:10" x14ac:dyDescent="0.2">
      <c r="A239" s="48" t="s">
        <v>349</v>
      </c>
      <c r="D239" s="49">
        <v>1</v>
      </c>
      <c r="E239" s="48" t="s">
        <v>347</v>
      </c>
    </row>
    <row r="240" spans="1:10" x14ac:dyDescent="0.2">
      <c r="A240" s="48" t="s">
        <v>350</v>
      </c>
      <c r="D240" s="49">
        <v>1</v>
      </c>
      <c r="E240" s="48" t="s">
        <v>347</v>
      </c>
    </row>
    <row r="241" spans="1:5" x14ac:dyDescent="0.2">
      <c r="A241" s="48" t="s">
        <v>351</v>
      </c>
      <c r="D241" s="49">
        <v>1</v>
      </c>
      <c r="E241" s="48" t="s">
        <v>347</v>
      </c>
    </row>
    <row r="242" spans="1:5" x14ac:dyDescent="0.2">
      <c r="A242" s="48" t="s">
        <v>352</v>
      </c>
      <c r="D242" s="49">
        <v>1</v>
      </c>
      <c r="E242" s="48" t="s">
        <v>347</v>
      </c>
    </row>
    <row r="243" spans="1:5" x14ac:dyDescent="0.2">
      <c r="A243" s="48" t="s">
        <v>362</v>
      </c>
      <c r="D243" s="49">
        <v>1</v>
      </c>
      <c r="E243" s="48" t="s">
        <v>347</v>
      </c>
    </row>
    <row r="244" spans="1:5" x14ac:dyDescent="0.2">
      <c r="A244" s="48" t="s">
        <v>353</v>
      </c>
      <c r="D244" s="49">
        <v>1</v>
      </c>
      <c r="E244" s="48" t="s">
        <v>347</v>
      </c>
    </row>
    <row r="245" spans="1:5" x14ac:dyDescent="0.2">
      <c r="A245" s="48" t="s">
        <v>354</v>
      </c>
      <c r="D245" s="49">
        <v>1</v>
      </c>
      <c r="E245" s="48" t="s">
        <v>347</v>
      </c>
    </row>
    <row r="246" spans="1:5" x14ac:dyDescent="0.2">
      <c r="A246" s="57" t="s">
        <v>595</v>
      </c>
      <c r="D246" s="49">
        <v>1</v>
      </c>
      <c r="E246" s="48" t="s">
        <v>347</v>
      </c>
    </row>
    <row r="247" spans="1:5" x14ac:dyDescent="0.2">
      <c r="A247" s="48" t="s">
        <v>355</v>
      </c>
      <c r="D247" s="49">
        <v>1</v>
      </c>
      <c r="E247" s="48" t="s">
        <v>347</v>
      </c>
    </row>
    <row r="248" spans="1:5" x14ac:dyDescent="0.2">
      <c r="A248" s="48" t="s">
        <v>356</v>
      </c>
      <c r="D248" s="49">
        <v>1</v>
      </c>
      <c r="E248" s="48" t="s">
        <v>347</v>
      </c>
    </row>
    <row r="249" spans="1:5" x14ac:dyDescent="0.2">
      <c r="A249" s="48" t="s">
        <v>363</v>
      </c>
      <c r="D249" s="49">
        <v>1</v>
      </c>
      <c r="E249" s="48" t="s">
        <v>347</v>
      </c>
    </row>
    <row r="250" spans="1:5" x14ac:dyDescent="0.2">
      <c r="A250" s="48" t="s">
        <v>370</v>
      </c>
      <c r="D250" s="49">
        <v>1</v>
      </c>
      <c r="E250" s="48" t="s">
        <v>347</v>
      </c>
    </row>
    <row r="251" spans="1:5" x14ac:dyDescent="0.2">
      <c r="A251" s="48" t="s">
        <v>409</v>
      </c>
      <c r="D251" s="49">
        <v>1</v>
      </c>
      <c r="E251" s="48" t="s">
        <v>347</v>
      </c>
    </row>
    <row r="252" spans="1:5" x14ac:dyDescent="0.2">
      <c r="A252" s="48" t="s">
        <v>507</v>
      </c>
      <c r="D252" s="49">
        <v>1</v>
      </c>
      <c r="E252" s="48" t="s">
        <v>347</v>
      </c>
    </row>
    <row r="253" spans="1:5" x14ac:dyDescent="0.2">
      <c r="A253" s="48" t="s">
        <v>515</v>
      </c>
      <c r="D253" s="49">
        <v>1</v>
      </c>
      <c r="E253" s="48" t="s">
        <v>347</v>
      </c>
    </row>
    <row r="254" spans="1:5" x14ac:dyDescent="0.2">
      <c r="A254" s="48" t="s">
        <v>543</v>
      </c>
      <c r="D254" s="49">
        <v>1</v>
      </c>
      <c r="E254" s="48" t="s">
        <v>347</v>
      </c>
    </row>
    <row r="255" spans="1:5" x14ac:dyDescent="0.2">
      <c r="A255" s="48" t="s">
        <v>543</v>
      </c>
      <c r="D255" s="49">
        <v>1</v>
      </c>
      <c r="E255" s="48" t="s">
        <v>347</v>
      </c>
    </row>
    <row r="256" spans="1:5" x14ac:dyDescent="0.2">
      <c r="A256" s="92" t="s">
        <v>681</v>
      </c>
      <c r="D256" s="49">
        <v>1</v>
      </c>
      <c r="E256" s="48" t="s">
        <v>347</v>
      </c>
    </row>
    <row r="257" spans="1:5" x14ac:dyDescent="0.2">
      <c r="A257" s="92" t="s">
        <v>682</v>
      </c>
      <c r="D257" s="49">
        <v>1</v>
      </c>
      <c r="E257" s="48" t="s">
        <v>347</v>
      </c>
    </row>
    <row r="258" spans="1:5" x14ac:dyDescent="0.2">
      <c r="A258" s="92" t="s">
        <v>683</v>
      </c>
      <c r="D258" s="49">
        <v>1</v>
      </c>
      <c r="E258" s="48" t="s">
        <v>347</v>
      </c>
    </row>
  </sheetData>
  <phoneticPr fontId="41" type="noConversion"/>
  <pageMargins left="0.75" right="0.75" top="1" bottom="1" header="0.5" footer="0.5"/>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E22" sqref="E22"/>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20</v>
      </c>
      <c r="B1" s="6" t="s">
        <v>12</v>
      </c>
      <c r="C1" s="6" t="s">
        <v>32</v>
      </c>
      <c r="D1" s="6" t="s">
        <v>16</v>
      </c>
      <c r="E1" s="6" t="s">
        <v>17</v>
      </c>
      <c r="F1" s="6" t="s">
        <v>18</v>
      </c>
      <c r="G1" s="6"/>
      <c r="H1" s="6"/>
      <c r="I1" s="6"/>
      <c r="J1" s="6"/>
      <c r="K1" s="6"/>
      <c r="L1" s="6">
        <v>0</v>
      </c>
    </row>
    <row r="2" spans="1:12" s="1" customFormat="1" ht="16" x14ac:dyDescent="0.2">
      <c r="A2" s="6" t="s">
        <v>29</v>
      </c>
      <c r="B2" s="6"/>
      <c r="C2" s="6"/>
      <c r="D2" s="6"/>
      <c r="E2" s="6"/>
      <c r="F2" s="6"/>
      <c r="G2" s="6"/>
      <c r="H2" s="6"/>
      <c r="I2"/>
      <c r="J2"/>
      <c r="K2"/>
      <c r="L2"/>
    </row>
    <row r="3" spans="1:12" ht="16" x14ac:dyDescent="0.2">
      <c r="A3" s="6" t="s">
        <v>22</v>
      </c>
      <c r="B3" s="6" t="s">
        <v>21</v>
      </c>
      <c r="C3" s="6" t="s">
        <v>34</v>
      </c>
      <c r="D3" s="14" t="s">
        <v>112</v>
      </c>
      <c r="E3" s="6"/>
      <c r="F3" s="6"/>
      <c r="G3" s="6"/>
      <c r="H3" s="6"/>
      <c r="I3" s="6"/>
    </row>
    <row r="4" spans="1:12" ht="16" x14ac:dyDescent="0.2">
      <c r="A4" s="6" t="s">
        <v>23</v>
      </c>
      <c r="B4" s="6" t="s">
        <v>21</v>
      </c>
      <c r="C4" s="6" t="s">
        <v>34</v>
      </c>
      <c r="D4" s="6">
        <v>2023</v>
      </c>
      <c r="E4" s="6"/>
      <c r="F4" s="6"/>
      <c r="G4" s="6"/>
      <c r="H4" s="6"/>
      <c r="I4" s="6"/>
      <c r="J4" s="6"/>
      <c r="K4" s="6"/>
      <c r="L4" s="6"/>
    </row>
    <row r="5" spans="1:12" ht="16" x14ac:dyDescent="0.2">
      <c r="A5" s="6" t="s">
        <v>24</v>
      </c>
      <c r="B5" s="6" t="s">
        <v>21</v>
      </c>
      <c r="C5" s="6" t="s">
        <v>34</v>
      </c>
      <c r="D5" s="9" t="s">
        <v>65</v>
      </c>
      <c r="E5" s="6"/>
      <c r="F5" s="6"/>
      <c r="G5" s="6"/>
      <c r="H5" s="6"/>
      <c r="I5" s="6"/>
      <c r="J5" s="6"/>
    </row>
    <row r="6" spans="1:12" ht="16" x14ac:dyDescent="0.2">
      <c r="A6" s="6" t="s">
        <v>25</v>
      </c>
      <c r="B6" s="6" t="s">
        <v>21</v>
      </c>
      <c r="C6" s="6" t="s">
        <v>33</v>
      </c>
      <c r="D6" s="9" t="s">
        <v>65</v>
      </c>
      <c r="E6" s="6"/>
      <c r="F6" s="6"/>
      <c r="G6" s="6"/>
      <c r="H6" s="6"/>
      <c r="I6" s="6"/>
    </row>
    <row r="7" spans="1:12" ht="16" x14ac:dyDescent="0.2">
      <c r="A7" s="6" t="s">
        <v>26</v>
      </c>
      <c r="B7" s="6" t="s">
        <v>21</v>
      </c>
      <c r="C7" s="6" t="s">
        <v>33</v>
      </c>
      <c r="D7" s="6" t="s">
        <v>54</v>
      </c>
      <c r="E7" s="6"/>
      <c r="F7" s="6"/>
      <c r="G7" s="6"/>
      <c r="H7" s="6"/>
      <c r="I7" s="6"/>
      <c r="J7" s="6"/>
      <c r="K7" s="6"/>
      <c r="L7" s="6"/>
    </row>
    <row r="8" spans="1:12" ht="16" x14ac:dyDescent="0.2">
      <c r="A8" s="6" t="s">
        <v>27</v>
      </c>
      <c r="B8" s="6" t="s">
        <v>21</v>
      </c>
      <c r="C8" s="6" t="s">
        <v>33</v>
      </c>
      <c r="D8" s="6"/>
      <c r="E8" s="6"/>
      <c r="F8" s="6"/>
      <c r="G8" s="6"/>
      <c r="H8" s="6"/>
      <c r="I8" s="6"/>
      <c r="J8" s="6"/>
      <c r="K8" s="6"/>
      <c r="L8" s="6"/>
    </row>
    <row r="9" spans="1:12" ht="16" x14ac:dyDescent="0.2">
      <c r="A9" s="6" t="s">
        <v>28</v>
      </c>
      <c r="B9" s="6" t="s">
        <v>21</v>
      </c>
      <c r="C9" s="6" t="s">
        <v>34</v>
      </c>
      <c r="D9" s="6" t="s">
        <v>52</v>
      </c>
      <c r="E9" s="6"/>
      <c r="F9" s="6"/>
      <c r="G9" s="6"/>
      <c r="H9" s="6"/>
      <c r="I9" s="6"/>
      <c r="J9" s="6"/>
      <c r="K9" s="6"/>
      <c r="L9" s="6"/>
    </row>
    <row r="10" spans="1:12" s="1" customFormat="1" ht="16" x14ac:dyDescent="0.2">
      <c r="A10" s="6" t="s">
        <v>19</v>
      </c>
      <c r="B10"/>
      <c r="C10"/>
      <c r="D10"/>
      <c r="E10"/>
      <c r="F10"/>
      <c r="G10"/>
      <c r="H10"/>
      <c r="I10"/>
      <c r="J10"/>
      <c r="K10"/>
      <c r="L10"/>
    </row>
    <row r="11" spans="1:12" s="1" customFormat="1" ht="16" x14ac:dyDescent="0.2">
      <c r="A11" s="6" t="s">
        <v>30</v>
      </c>
      <c r="B11" s="6" t="s">
        <v>31</v>
      </c>
      <c r="C11" s="6" t="s">
        <v>33</v>
      </c>
      <c r="D11" s="6" t="s">
        <v>52</v>
      </c>
      <c r="E11" s="7">
        <v>43723</v>
      </c>
      <c r="F11" s="6" t="s">
        <v>51</v>
      </c>
      <c r="G11" s="6"/>
      <c r="H11" s="6"/>
      <c r="I11" s="6"/>
      <c r="J11" s="6"/>
      <c r="K11" s="6"/>
      <c r="L11"/>
    </row>
    <row r="12" spans="1:12" s="1" customFormat="1" ht="16" x14ac:dyDescent="0.2">
      <c r="A12" s="6" t="s">
        <v>30</v>
      </c>
      <c r="B12" s="6" t="s">
        <v>31</v>
      </c>
      <c r="C12" s="6" t="s">
        <v>33</v>
      </c>
      <c r="D12" s="6" t="s">
        <v>50</v>
      </c>
      <c r="E12" s="7">
        <v>43397</v>
      </c>
      <c r="F12" s="6" t="s">
        <v>51</v>
      </c>
      <c r="G12" s="6"/>
      <c r="H12" s="6"/>
      <c r="I12" s="6"/>
      <c r="J12" s="6"/>
      <c r="K12" s="6"/>
      <c r="L12"/>
    </row>
    <row r="13" spans="1:12" s="1" customFormat="1" ht="16" x14ac:dyDescent="0.2">
      <c r="A13" s="6" t="s">
        <v>30</v>
      </c>
      <c r="B13" s="6" t="s">
        <v>31</v>
      </c>
      <c r="C13" s="6" t="s">
        <v>33</v>
      </c>
      <c r="D13" s="6" t="s">
        <v>48</v>
      </c>
      <c r="E13" s="7">
        <v>43252</v>
      </c>
      <c r="F13" s="6" t="s">
        <v>49</v>
      </c>
      <c r="G13" s="6"/>
      <c r="H13" s="6"/>
      <c r="I13" s="6"/>
      <c r="J13" s="6"/>
      <c r="K13"/>
      <c r="L13"/>
    </row>
    <row r="14" spans="1:12" s="1" customFormat="1" ht="16" x14ac:dyDescent="0.2">
      <c r="A14" s="6" t="s">
        <v>30</v>
      </c>
      <c r="B14" s="6" t="s">
        <v>31</v>
      </c>
      <c r="C14" s="6" t="s">
        <v>33</v>
      </c>
      <c r="D14" s="6">
        <v>1.7</v>
      </c>
      <c r="E14" s="7">
        <v>43252</v>
      </c>
      <c r="F14" s="6" t="s">
        <v>47</v>
      </c>
      <c r="G14" s="6"/>
      <c r="H14" s="6"/>
      <c r="I14"/>
      <c r="J14"/>
      <c r="K14"/>
      <c r="L14"/>
    </row>
    <row r="15" spans="1:12" ht="15.75" customHeight="1" x14ac:dyDescent="0.2">
      <c r="A15" s="6" t="s">
        <v>30</v>
      </c>
      <c r="B15" s="6" t="s">
        <v>31</v>
      </c>
      <c r="C15" s="6" t="s">
        <v>33</v>
      </c>
      <c r="D15" s="6">
        <v>1</v>
      </c>
      <c r="E15" s="7">
        <v>42696</v>
      </c>
      <c r="F15" s="6" t="s">
        <v>38</v>
      </c>
    </row>
    <row r="16" spans="1:12" ht="16" x14ac:dyDescent="0.2">
      <c r="A16" s="6" t="s">
        <v>30</v>
      </c>
      <c r="B16" s="6" t="s">
        <v>31</v>
      </c>
      <c r="C16" s="6" t="s">
        <v>33</v>
      </c>
      <c r="D16" s="6">
        <v>0.1</v>
      </c>
      <c r="E16" s="7">
        <v>42685</v>
      </c>
      <c r="F16" s="6" t="s">
        <v>36</v>
      </c>
      <c r="G16" s="6"/>
      <c r="H16" s="6"/>
      <c r="I16" s="6"/>
      <c r="J16" s="6"/>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8"/>
  <sheetViews>
    <sheetView topLeftCell="C1" zoomScaleNormal="100" workbookViewId="0">
      <selection activeCell="E18" sqref="E18"/>
    </sheetView>
  </sheetViews>
  <sheetFormatPr baseColWidth="10" defaultColWidth="8.83203125" defaultRowHeight="15" x14ac:dyDescent="0.2"/>
  <sheetData>
    <row r="1" spans="1:18" ht="108.75" customHeight="1" x14ac:dyDescent="0.2">
      <c r="A1" s="85" t="s">
        <v>45</v>
      </c>
      <c r="B1" s="85"/>
      <c r="C1" s="85"/>
      <c r="D1" s="85"/>
      <c r="E1" s="85"/>
      <c r="F1" s="85"/>
      <c r="G1" s="85"/>
      <c r="H1" s="85"/>
      <c r="I1" s="85"/>
      <c r="J1" s="85"/>
      <c r="K1" s="85"/>
      <c r="L1" s="85"/>
    </row>
    <row r="2" spans="1:18" ht="19.5" customHeight="1" x14ac:dyDescent="0.2">
      <c r="A2" s="86" t="s">
        <v>46</v>
      </c>
      <c r="B2" s="86"/>
      <c r="C2" s="86"/>
      <c r="D2" s="86"/>
      <c r="E2" s="86"/>
      <c r="F2" s="86"/>
      <c r="G2" s="86"/>
      <c r="H2" s="86"/>
      <c r="I2" s="86"/>
      <c r="J2" s="86"/>
      <c r="K2" s="86"/>
      <c r="L2" s="86"/>
    </row>
    <row r="4" spans="1:18" ht="46.5" customHeight="1" x14ac:dyDescent="0.2">
      <c r="D4" s="85" t="s">
        <v>39</v>
      </c>
      <c r="E4" s="85"/>
      <c r="F4" s="85"/>
      <c r="G4" s="85"/>
      <c r="H4" s="85"/>
      <c r="I4" s="85"/>
      <c r="J4" s="85"/>
      <c r="K4" s="85"/>
      <c r="L4" s="85"/>
      <c r="M4" s="4"/>
      <c r="N4" s="4"/>
      <c r="O4" s="4"/>
      <c r="P4" s="4"/>
      <c r="Q4" s="4"/>
      <c r="R4" s="4"/>
    </row>
    <row r="6" spans="1:18" ht="26.25" customHeight="1" x14ac:dyDescent="0.2">
      <c r="D6" s="84" t="s">
        <v>40</v>
      </c>
      <c r="E6" s="84"/>
      <c r="F6" s="84"/>
      <c r="G6" s="84"/>
      <c r="H6" s="84"/>
      <c r="I6" s="84"/>
      <c r="J6" s="84"/>
      <c r="K6" s="84"/>
      <c r="L6" s="84"/>
    </row>
    <row r="8" spans="1:18" x14ac:dyDescent="0.2">
      <c r="D8" t="s">
        <v>14</v>
      </c>
    </row>
  </sheetData>
  <mergeCells count="4">
    <mergeCell ref="D6:L6"/>
    <mergeCell ref="D4:L4"/>
    <mergeCell ref="A1:L1"/>
    <mergeCell ref="A2:L2"/>
  </mergeCells>
  <hyperlinks>
    <hyperlink ref="A2:L2" r:id="rId1" display="https://youtu.be/6E7Z9xewNng" xr:uid="{00000000-0004-0000-0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Sheet7.Button4_Click">
                <anchor moveWithCells="1" sizeWithCells="1">
                  <from>
                    <xdr:col>0</xdr:col>
                    <xdr:colOff>63500</xdr:colOff>
                    <xdr:row>7</xdr:row>
                    <xdr:rowOff>0</xdr:rowOff>
                  </from>
                  <to>
                    <xdr:col>2</xdr:col>
                    <xdr:colOff>520700</xdr:colOff>
                    <xdr:row>8</xdr:row>
                    <xdr:rowOff>177800</xdr:rowOff>
                  </to>
                </anchor>
              </controlPr>
            </control>
          </mc:Choice>
        </mc:AlternateContent>
        <mc:AlternateContent xmlns:mc="http://schemas.openxmlformats.org/markup-compatibility/2006">
          <mc:Choice Requires="x14">
            <control shapeId="9221" r:id="rId6" name="Button 5">
              <controlPr defaultSize="0" print="0" autoFill="0" autoPict="0" macro="[0]!Sheet7.Button5_Click">
                <anchor moveWithCells="1" sizeWithCells="1">
                  <from>
                    <xdr:col>0</xdr:col>
                    <xdr:colOff>63500</xdr:colOff>
                    <xdr:row>4</xdr:row>
                    <xdr:rowOff>177800</xdr:rowOff>
                  </from>
                  <to>
                    <xdr:col>2</xdr:col>
                    <xdr:colOff>508000</xdr:colOff>
                    <xdr:row>5</xdr:row>
                    <xdr:rowOff>330200</xdr:rowOff>
                  </to>
                </anchor>
              </controlPr>
            </control>
          </mc:Choice>
        </mc:AlternateContent>
        <mc:AlternateContent xmlns:mc="http://schemas.openxmlformats.org/markup-compatibility/2006">
          <mc:Choice Requires="x14">
            <control shapeId="9222" r:id="rId7" name="Button 6">
              <controlPr defaultSize="0" print="0" autoFill="0" autoPict="0" macro="[0]!Sheet7.Button6_Click">
                <anchor moveWithCells="1" sizeWithCells="1">
                  <from>
                    <xdr:col>0</xdr:col>
                    <xdr:colOff>63500</xdr:colOff>
                    <xdr:row>3</xdr:row>
                    <xdr:rowOff>12700</xdr:rowOff>
                  </from>
                  <to>
                    <xdr:col>2</xdr:col>
                    <xdr:colOff>520700</xdr:colOff>
                    <xdr:row>3</xdr:row>
                    <xdr:rowOff>368300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D109-A424-2843-9874-FB0D2441AA73}">
  <sheetPr codeName="Sheet9"/>
  <dimension ref="A1:K72"/>
  <sheetViews>
    <sheetView zoomScale="75" zoomScaleNormal="85" workbookViewId="0">
      <pane ySplit="2" topLeftCell="A53" activePane="bottomLeft" state="frozen"/>
      <selection activeCell="I17" sqref="I17"/>
      <selection pane="bottomLeft" activeCell="E31" sqref="E31:H50"/>
    </sheetView>
  </sheetViews>
  <sheetFormatPr baseColWidth="10" defaultColWidth="8.83203125" defaultRowHeight="15" x14ac:dyDescent="0.2"/>
  <cols>
    <col min="4" max="4" width="20.33203125" customWidth="1"/>
    <col min="5" max="8" width="21" customWidth="1"/>
  </cols>
  <sheetData>
    <row r="1" spans="1:8" x14ac:dyDescent="0.2">
      <c r="A1" t="s">
        <v>289</v>
      </c>
    </row>
    <row r="2" spans="1:8" s="1" customFormat="1" x14ac:dyDescent="0.2">
      <c r="A2" t="s">
        <v>91</v>
      </c>
      <c r="B2" t="s">
        <v>75</v>
      </c>
      <c r="C2" t="s">
        <v>92</v>
      </c>
      <c r="D2" t="s">
        <v>9</v>
      </c>
      <c r="F2"/>
      <c r="H2"/>
    </row>
    <row r="3" spans="1:8" ht="16" x14ac:dyDescent="0.2">
      <c r="A3" s="16" t="s">
        <v>76</v>
      </c>
      <c r="B3" t="s">
        <v>78</v>
      </c>
      <c r="D3" s="11" t="s">
        <v>77</v>
      </c>
    </row>
    <row r="4" spans="1:8" ht="16" x14ac:dyDescent="0.2">
      <c r="A4" s="16" t="s">
        <v>79</v>
      </c>
      <c r="B4" t="s">
        <v>78</v>
      </c>
      <c r="D4" s="11" t="s">
        <v>80</v>
      </c>
    </row>
    <row r="5" spans="1:8" ht="16" x14ac:dyDescent="0.2">
      <c r="A5" s="10" t="s">
        <v>81</v>
      </c>
      <c r="B5" t="s">
        <v>78</v>
      </c>
      <c r="D5" s="11" t="s">
        <v>82</v>
      </c>
    </row>
    <row r="6" spans="1:8" ht="16" x14ac:dyDescent="0.2">
      <c r="A6" s="16" t="s">
        <v>83</v>
      </c>
      <c r="B6" t="s">
        <v>78</v>
      </c>
      <c r="D6" s="11" t="s">
        <v>84</v>
      </c>
    </row>
    <row r="7" spans="1:8" ht="16" x14ac:dyDescent="0.2">
      <c r="A7" s="10" t="s">
        <v>85</v>
      </c>
      <c r="B7" t="s">
        <v>78</v>
      </c>
      <c r="D7" s="11" t="s">
        <v>86</v>
      </c>
    </row>
    <row r="8" spans="1:8" ht="16" x14ac:dyDescent="0.2">
      <c r="A8" s="10" t="s">
        <v>87</v>
      </c>
      <c r="B8" t="s">
        <v>78</v>
      </c>
      <c r="D8" s="11" t="s">
        <v>88</v>
      </c>
    </row>
    <row r="9" spans="1:8" ht="16" x14ac:dyDescent="0.2">
      <c r="A9" s="10" t="s">
        <v>89</v>
      </c>
      <c r="B9" t="s">
        <v>78</v>
      </c>
      <c r="D9" s="11" t="s">
        <v>90</v>
      </c>
    </row>
    <row r="10" spans="1:8" ht="16" x14ac:dyDescent="0.2">
      <c r="A10" s="10"/>
    </row>
    <row r="11" spans="1:8" ht="16" x14ac:dyDescent="0.2">
      <c r="A11" s="21" t="s">
        <v>294</v>
      </c>
      <c r="D11" s="11" t="s">
        <v>295</v>
      </c>
      <c r="E11" t="s">
        <v>296</v>
      </c>
      <c r="G11" t="s">
        <v>296</v>
      </c>
    </row>
    <row r="12" spans="1:8" ht="16" x14ac:dyDescent="0.2">
      <c r="A12" s="21" t="s">
        <v>297</v>
      </c>
      <c r="D12" s="11" t="s">
        <v>298</v>
      </c>
      <c r="E12" t="s">
        <v>299</v>
      </c>
      <c r="G12" t="s">
        <v>299</v>
      </c>
    </row>
    <row r="13" spans="1:8" ht="16" x14ac:dyDescent="0.2">
      <c r="A13" s="21" t="s">
        <v>302</v>
      </c>
      <c r="D13" s="11" t="s">
        <v>301</v>
      </c>
      <c r="E13" t="s">
        <v>303</v>
      </c>
      <c r="G13" t="s">
        <v>303</v>
      </c>
    </row>
    <row r="14" spans="1:8" ht="16" x14ac:dyDescent="0.2">
      <c r="D14" s="11" t="s">
        <v>304</v>
      </c>
      <c r="E14" t="s">
        <v>305</v>
      </c>
      <c r="G14" t="s">
        <v>305</v>
      </c>
    </row>
    <row r="15" spans="1:8" ht="16" x14ac:dyDescent="0.2">
      <c r="D15" s="11" t="s">
        <v>306</v>
      </c>
      <c r="E15" t="s">
        <v>307</v>
      </c>
      <c r="G15" t="s">
        <v>307</v>
      </c>
    </row>
    <row r="16" spans="1:8" ht="16" x14ac:dyDescent="0.2">
      <c r="D16" s="11" t="s">
        <v>308</v>
      </c>
      <c r="E16" t="s">
        <v>309</v>
      </c>
      <c r="G16" t="s">
        <v>309</v>
      </c>
    </row>
    <row r="17" spans="4:11" ht="16" x14ac:dyDescent="0.2">
      <c r="D17" s="11" t="s">
        <v>311</v>
      </c>
    </row>
    <row r="31" spans="4:11" ht="38" customHeight="1" x14ac:dyDescent="0.2">
      <c r="E31" s="38" t="s">
        <v>476</v>
      </c>
      <c r="F31" s="38" t="s">
        <v>476</v>
      </c>
      <c r="G31" s="38" t="s">
        <v>476</v>
      </c>
      <c r="H31" s="38" t="s">
        <v>476</v>
      </c>
      <c r="K31" s="11" t="s">
        <v>291</v>
      </c>
    </row>
    <row r="32" spans="4:11" ht="38" customHeight="1" x14ac:dyDescent="0.2">
      <c r="E32" s="38" t="s">
        <v>476</v>
      </c>
      <c r="F32" s="38" t="s">
        <v>476</v>
      </c>
      <c r="G32" s="38" t="s">
        <v>476</v>
      </c>
      <c r="H32" s="38" t="s">
        <v>476</v>
      </c>
      <c r="K32" s="11" t="s">
        <v>207</v>
      </c>
    </row>
    <row r="33" spans="5:11" ht="38" customHeight="1" x14ac:dyDescent="0.2">
      <c r="E33" s="38" t="s">
        <v>476</v>
      </c>
      <c r="F33" s="38" t="s">
        <v>476</v>
      </c>
      <c r="G33" s="38" t="s">
        <v>476</v>
      </c>
      <c r="H33" s="38" t="s">
        <v>476</v>
      </c>
      <c r="K33" s="11" t="s">
        <v>464</v>
      </c>
    </row>
    <row r="34" spans="5:11" ht="38" customHeight="1" x14ac:dyDescent="0.2">
      <c r="E34" s="38" t="s">
        <v>477</v>
      </c>
      <c r="F34" s="38" t="s">
        <v>477</v>
      </c>
      <c r="G34" s="38" t="s">
        <v>477</v>
      </c>
      <c r="H34" s="38" t="s">
        <v>477</v>
      </c>
      <c r="K34" s="11" t="s">
        <v>203</v>
      </c>
    </row>
    <row r="35" spans="5:11" ht="38" customHeight="1" x14ac:dyDescent="0.2">
      <c r="E35" s="38" t="s">
        <v>477</v>
      </c>
      <c r="F35" s="38" t="s">
        <v>477</v>
      </c>
      <c r="G35" s="38" t="s">
        <v>477</v>
      </c>
      <c r="H35" s="38" t="s">
        <v>477</v>
      </c>
      <c r="K35" s="11" t="s">
        <v>467</v>
      </c>
    </row>
    <row r="36" spans="5:11" ht="38" customHeight="1" x14ac:dyDescent="0.2">
      <c r="E36" s="38" t="s">
        <v>478</v>
      </c>
      <c r="F36" s="38" t="s">
        <v>478</v>
      </c>
      <c r="G36" s="38" t="s">
        <v>478</v>
      </c>
      <c r="H36" s="38" t="s">
        <v>478</v>
      </c>
      <c r="K36" s="11" t="s">
        <v>197</v>
      </c>
    </row>
    <row r="37" spans="5:11" ht="38" customHeight="1" x14ac:dyDescent="0.2">
      <c r="E37" s="38" t="s">
        <v>478</v>
      </c>
      <c r="F37" s="38" t="s">
        <v>478</v>
      </c>
      <c r="G37" s="38" t="s">
        <v>478</v>
      </c>
      <c r="H37" s="38" t="s">
        <v>478</v>
      </c>
      <c r="K37" s="11" t="s">
        <v>292</v>
      </c>
    </row>
    <row r="38" spans="5:11" ht="38" customHeight="1" x14ac:dyDescent="0.2">
      <c r="E38" s="38" t="s">
        <v>479</v>
      </c>
      <c r="F38" s="38" t="s">
        <v>479</v>
      </c>
      <c r="G38" s="38" t="s">
        <v>479</v>
      </c>
      <c r="H38" s="38" t="s">
        <v>479</v>
      </c>
      <c r="K38" s="11" t="s">
        <v>465</v>
      </c>
    </row>
    <row r="39" spans="5:11" ht="38" customHeight="1" x14ac:dyDescent="0.2">
      <c r="E39" s="38" t="s">
        <v>479</v>
      </c>
      <c r="F39" s="38" t="s">
        <v>479</v>
      </c>
      <c r="G39" s="38" t="s">
        <v>479</v>
      </c>
      <c r="H39" s="38" t="s">
        <v>479</v>
      </c>
      <c r="K39" s="11" t="s">
        <v>290</v>
      </c>
    </row>
    <row r="40" spans="5:11" ht="38" customHeight="1" x14ac:dyDescent="0.2">
      <c r="E40" s="38" t="s">
        <v>480</v>
      </c>
      <c r="F40" s="38" t="s">
        <v>480</v>
      </c>
      <c r="G40" s="38" t="s">
        <v>480</v>
      </c>
      <c r="H40" s="38" t="s">
        <v>480</v>
      </c>
      <c r="K40" s="11" t="s">
        <v>466</v>
      </c>
    </row>
    <row r="41" spans="5:11" ht="38" customHeight="1" x14ac:dyDescent="0.2">
      <c r="E41" s="38" t="s">
        <v>481</v>
      </c>
      <c r="F41" s="38" t="s">
        <v>481</v>
      </c>
      <c r="G41" s="38" t="s">
        <v>481</v>
      </c>
      <c r="H41" s="38" t="s">
        <v>481</v>
      </c>
      <c r="K41" s="11" t="s">
        <v>470</v>
      </c>
    </row>
    <row r="42" spans="5:11" ht="38" customHeight="1" x14ac:dyDescent="0.2">
      <c r="E42" s="38" t="s">
        <v>482</v>
      </c>
      <c r="F42" s="38" t="s">
        <v>482</v>
      </c>
      <c r="G42" s="38" t="s">
        <v>482</v>
      </c>
      <c r="H42" s="38" t="s">
        <v>482</v>
      </c>
      <c r="K42" s="11" t="s">
        <v>293</v>
      </c>
    </row>
    <row r="43" spans="5:11" ht="38" customHeight="1" x14ac:dyDescent="0.2">
      <c r="E43" s="38" t="s">
        <v>483</v>
      </c>
      <c r="F43" s="38" t="s">
        <v>483</v>
      </c>
      <c r="G43" s="38" t="s">
        <v>483</v>
      </c>
      <c r="H43" s="38" t="s">
        <v>483</v>
      </c>
      <c r="K43" s="11" t="s">
        <v>469</v>
      </c>
    </row>
    <row r="44" spans="5:11" ht="38" customHeight="1" x14ac:dyDescent="0.2">
      <c r="E44" s="38" t="s">
        <v>483</v>
      </c>
      <c r="F44" s="38" t="s">
        <v>483</v>
      </c>
      <c r="G44" s="38" t="s">
        <v>483</v>
      </c>
      <c r="H44" s="38" t="s">
        <v>483</v>
      </c>
      <c r="K44" s="11" t="s">
        <v>468</v>
      </c>
    </row>
    <row r="45" spans="5:11" ht="38" customHeight="1" x14ac:dyDescent="0.2">
      <c r="E45" s="38" t="s">
        <v>478</v>
      </c>
      <c r="F45" s="38" t="s">
        <v>478</v>
      </c>
      <c r="G45" s="38" t="s">
        <v>478</v>
      </c>
      <c r="H45" s="38" t="s">
        <v>478</v>
      </c>
    </row>
    <row r="46" spans="5:11" ht="38" customHeight="1" x14ac:dyDescent="0.2">
      <c r="E46" s="38" t="s">
        <v>478</v>
      </c>
      <c r="F46" s="38" t="s">
        <v>478</v>
      </c>
      <c r="G46" s="38" t="s">
        <v>478</v>
      </c>
      <c r="H46" s="38" t="s">
        <v>478</v>
      </c>
    </row>
    <row r="47" spans="5:11" ht="38" customHeight="1" x14ac:dyDescent="0.2">
      <c r="E47" s="38" t="s">
        <v>484</v>
      </c>
      <c r="F47" s="38" t="s">
        <v>484</v>
      </c>
      <c r="G47" s="38" t="s">
        <v>484</v>
      </c>
      <c r="H47" s="38" t="s">
        <v>484</v>
      </c>
    </row>
    <row r="48" spans="5:11" ht="38" customHeight="1" x14ac:dyDescent="0.25">
      <c r="E48" s="38" t="s">
        <v>485</v>
      </c>
      <c r="F48" s="38" t="s">
        <v>485</v>
      </c>
      <c r="G48" s="39" t="s">
        <v>490</v>
      </c>
      <c r="H48" s="39" t="s">
        <v>490</v>
      </c>
    </row>
    <row r="49" spans="5:9" ht="38" customHeight="1" x14ac:dyDescent="0.2">
      <c r="E49" s="38" t="s">
        <v>486</v>
      </c>
      <c r="F49" s="38" t="s">
        <v>486</v>
      </c>
      <c r="G49" s="38" t="s">
        <v>486</v>
      </c>
      <c r="H49" s="38" t="s">
        <v>486</v>
      </c>
    </row>
    <row r="50" spans="5:9" ht="38" customHeight="1" x14ac:dyDescent="0.2">
      <c r="E50" s="38" t="s">
        <v>486</v>
      </c>
      <c r="F50" s="38" t="s">
        <v>486</v>
      </c>
      <c r="G50" s="38" t="s">
        <v>486</v>
      </c>
      <c r="H50" s="38" t="s">
        <v>489</v>
      </c>
    </row>
    <row r="51" spans="5:9" ht="38" customHeight="1" x14ac:dyDescent="0.25">
      <c r="E51" s="38"/>
      <c r="F51" s="22"/>
      <c r="G51" s="22"/>
      <c r="H51" s="22"/>
    </row>
    <row r="52" spans="5:9" ht="19" x14ac:dyDescent="0.25">
      <c r="E52" s="23"/>
      <c r="F52" s="23"/>
      <c r="G52" s="23"/>
      <c r="H52" s="23"/>
    </row>
    <row r="53" spans="5:9" ht="38" customHeight="1" x14ac:dyDescent="0.25">
      <c r="E53" s="23"/>
      <c r="F53" s="23"/>
      <c r="G53" s="23"/>
      <c r="H53" s="23"/>
    </row>
    <row r="54" spans="5:9" ht="38" customHeight="1" x14ac:dyDescent="0.25">
      <c r="E54" s="23"/>
      <c r="F54" s="23"/>
      <c r="G54" s="23"/>
      <c r="H54" s="23"/>
    </row>
    <row r="55" spans="5:9" ht="38" customHeight="1" x14ac:dyDescent="0.25">
      <c r="E55" s="23"/>
      <c r="F55" s="23"/>
      <c r="G55" s="23"/>
      <c r="H55" s="23"/>
    </row>
    <row r="56" spans="5:9" ht="38" customHeight="1" x14ac:dyDescent="0.2">
      <c r="E56" t="s">
        <v>9</v>
      </c>
      <c r="F56" t="s">
        <v>518</v>
      </c>
      <c r="G56" t="s">
        <v>519</v>
      </c>
      <c r="H56" t="s">
        <v>516</v>
      </c>
      <c r="I56" t="s">
        <v>517</v>
      </c>
    </row>
    <row r="57" spans="5:9" ht="16" x14ac:dyDescent="0.2">
      <c r="E57" s="11" t="s">
        <v>203</v>
      </c>
      <c r="F57">
        <v>0.47408343868520858</v>
      </c>
      <c r="G57">
        <v>0.12903225806451613</v>
      </c>
      <c r="H57">
        <v>6</v>
      </c>
      <c r="I57">
        <v>9</v>
      </c>
    </row>
    <row r="58" spans="5:9" ht="16" x14ac:dyDescent="0.2">
      <c r="E58" s="11" t="s">
        <v>467</v>
      </c>
      <c r="F58">
        <v>0.17699115044247787</v>
      </c>
      <c r="G58">
        <v>0.16129032258064516</v>
      </c>
      <c r="H58">
        <v>10</v>
      </c>
      <c r="I58">
        <v>5</v>
      </c>
    </row>
    <row r="59" spans="5:9" ht="16" x14ac:dyDescent="0.2">
      <c r="E59" s="11" t="s">
        <v>293</v>
      </c>
      <c r="F59">
        <v>0.16434892541087232</v>
      </c>
      <c r="G59">
        <v>9.6774193548387094E-2</v>
      </c>
      <c r="H59">
        <v>8</v>
      </c>
      <c r="I59">
        <v>2</v>
      </c>
    </row>
    <row r="60" spans="5:9" ht="16" x14ac:dyDescent="0.2">
      <c r="E60" s="11" t="s">
        <v>197</v>
      </c>
      <c r="F60">
        <v>7.5853350189633378E-2</v>
      </c>
      <c r="G60">
        <v>6.4516129032258063E-2</v>
      </c>
      <c r="H60">
        <v>375</v>
      </c>
      <c r="I60">
        <v>8</v>
      </c>
    </row>
    <row r="61" spans="5:9" ht="16" x14ac:dyDescent="0.2">
      <c r="E61" s="11" t="s">
        <v>290</v>
      </c>
      <c r="F61">
        <v>6.3211125158027806E-2</v>
      </c>
      <c r="G61">
        <v>0.20967741935483872</v>
      </c>
      <c r="H61">
        <v>140</v>
      </c>
      <c r="I61">
        <v>10</v>
      </c>
    </row>
    <row r="62" spans="5:9" ht="16" x14ac:dyDescent="0.2">
      <c r="E62" s="11" t="s">
        <v>207</v>
      </c>
      <c r="F62">
        <v>1.2642225031605562E-2</v>
      </c>
      <c r="G62">
        <v>8.0645161290322578E-2</v>
      </c>
      <c r="H62">
        <v>60</v>
      </c>
      <c r="I62">
        <v>4</v>
      </c>
    </row>
    <row r="63" spans="5:9" ht="16" x14ac:dyDescent="0.2">
      <c r="E63" s="11" t="s">
        <v>464</v>
      </c>
      <c r="F63">
        <v>1.0113780025284451E-2</v>
      </c>
      <c r="G63">
        <v>3.2258064516129031E-2</v>
      </c>
      <c r="H63">
        <v>2</v>
      </c>
      <c r="I63">
        <v>0</v>
      </c>
    </row>
    <row r="64" spans="5:9" ht="16" x14ac:dyDescent="0.2">
      <c r="E64" s="11" t="s">
        <v>291</v>
      </c>
      <c r="F64">
        <v>7.5853350189633373E-3</v>
      </c>
      <c r="G64">
        <v>0.14516129032258066</v>
      </c>
      <c r="H64">
        <v>1</v>
      </c>
      <c r="I64">
        <v>0</v>
      </c>
    </row>
    <row r="65" spans="5:9" ht="16" x14ac:dyDescent="0.2">
      <c r="E65" s="11" t="s">
        <v>470</v>
      </c>
      <c r="F65">
        <v>6.321112515802781E-3</v>
      </c>
      <c r="G65">
        <v>0</v>
      </c>
      <c r="H65">
        <v>50</v>
      </c>
      <c r="I65">
        <v>13</v>
      </c>
    </row>
    <row r="66" spans="5:9" ht="16" x14ac:dyDescent="0.2">
      <c r="E66" s="11" t="s">
        <v>466</v>
      </c>
      <c r="F66">
        <v>3.7926675094816687E-3</v>
      </c>
      <c r="G66">
        <v>1.6129032258064516E-2</v>
      </c>
      <c r="H66">
        <v>3</v>
      </c>
      <c r="I66">
        <v>1</v>
      </c>
    </row>
    <row r="67" spans="5:9" ht="16" x14ac:dyDescent="0.2">
      <c r="E67" s="11" t="s">
        <v>292</v>
      </c>
      <c r="F67">
        <v>2.5284450063211127E-3</v>
      </c>
      <c r="G67">
        <v>0</v>
      </c>
      <c r="H67">
        <v>5</v>
      </c>
      <c r="I67">
        <v>0</v>
      </c>
    </row>
    <row r="68" spans="5:9" ht="16" x14ac:dyDescent="0.2">
      <c r="E68" s="11" t="s">
        <v>465</v>
      </c>
      <c r="F68">
        <v>1.2642225031605564E-3</v>
      </c>
      <c r="G68">
        <v>0</v>
      </c>
      <c r="H68">
        <v>130</v>
      </c>
      <c r="I68">
        <v>6</v>
      </c>
    </row>
    <row r="69" spans="5:9" ht="16" x14ac:dyDescent="0.2">
      <c r="E69" s="11" t="s">
        <v>508</v>
      </c>
      <c r="F69">
        <v>1.2642225031605564E-3</v>
      </c>
      <c r="G69">
        <v>0</v>
      </c>
    </row>
    <row r="70" spans="5:9" ht="16" x14ac:dyDescent="0.2">
      <c r="E70" s="11" t="s">
        <v>468</v>
      </c>
      <c r="F70">
        <v>0</v>
      </c>
      <c r="G70">
        <v>3.2258064516129031E-2</v>
      </c>
      <c r="H70">
        <v>0</v>
      </c>
      <c r="I70">
        <v>2</v>
      </c>
    </row>
    <row r="71" spans="5:9" ht="16" x14ac:dyDescent="0.2">
      <c r="E71" s="11" t="s">
        <v>487</v>
      </c>
      <c r="F71">
        <v>0</v>
      </c>
      <c r="G71">
        <v>3.2258064516129031E-2</v>
      </c>
      <c r="H71">
        <v>1</v>
      </c>
      <c r="I71">
        <v>0</v>
      </c>
    </row>
    <row r="72" spans="5:9" x14ac:dyDescent="0.2">
      <c r="H72">
        <f>SUM(H57:H71)</f>
        <v>791</v>
      </c>
      <c r="I72">
        <f>SUM(I57:I71)</f>
        <v>60</v>
      </c>
    </row>
  </sheetData>
  <sortState xmlns:xlrd2="http://schemas.microsoft.com/office/spreadsheetml/2017/richdata2" ref="E57:G71">
    <sortCondition descending="1" ref="F57:F71"/>
  </sortState>
  <phoneticPr fontId="41" type="noConversion"/>
  <pageMargins left="0.25" right="0.25"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75FA8-A520-7F4C-BEF6-0E8F5D03E1DF}">
  <dimension ref="B5:W150"/>
  <sheetViews>
    <sheetView topLeftCell="D106" zoomScale="92" workbookViewId="0">
      <selection activeCell="F150" sqref="F150"/>
    </sheetView>
  </sheetViews>
  <sheetFormatPr baseColWidth="10" defaultRowHeight="15" x14ac:dyDescent="0.2"/>
  <cols>
    <col min="12" max="12" width="17" customWidth="1"/>
    <col min="14" max="14" width="12.1640625" bestFit="1" customWidth="1"/>
    <col min="15" max="15" width="12" bestFit="1" customWidth="1"/>
    <col min="16" max="16" width="13.6640625" bestFit="1" customWidth="1"/>
    <col min="17" max="17" width="12.83203125" bestFit="1" customWidth="1"/>
    <col min="18" max="18" width="19.1640625" bestFit="1" customWidth="1"/>
    <col min="19" max="19" width="17.5" bestFit="1" customWidth="1"/>
    <col min="20" max="20" width="19.33203125" bestFit="1" customWidth="1"/>
    <col min="21" max="21" width="8" customWidth="1"/>
    <col min="22" max="22" width="9.83203125" customWidth="1"/>
  </cols>
  <sheetData>
    <row r="5" spans="5:12" x14ac:dyDescent="0.2">
      <c r="I5">
        <v>10</v>
      </c>
      <c r="J5">
        <v>44.5</v>
      </c>
      <c r="K5">
        <f>I5/J5</f>
        <v>0.2247191011235955</v>
      </c>
    </row>
    <row r="6" spans="5:12" x14ac:dyDescent="0.2">
      <c r="I6">
        <v>20</v>
      </c>
      <c r="J6">
        <v>89</v>
      </c>
      <c r="L6">
        <f>J6*K5</f>
        <v>20</v>
      </c>
    </row>
    <row r="7" spans="5:12" x14ac:dyDescent="0.2">
      <c r="J7">
        <v>40</v>
      </c>
    </row>
    <row r="10" spans="5:12" x14ac:dyDescent="0.2">
      <c r="E10" t="s">
        <v>584</v>
      </c>
    </row>
    <row r="13" spans="5:12" x14ac:dyDescent="0.2">
      <c r="E13" t="s">
        <v>563</v>
      </c>
    </row>
    <row r="14" spans="5:12" x14ac:dyDescent="0.2">
      <c r="E14" t="s">
        <v>564</v>
      </c>
    </row>
    <row r="15" spans="5:12" x14ac:dyDescent="0.2">
      <c r="E15" t="s">
        <v>565</v>
      </c>
    </row>
    <row r="16" spans="5:12" x14ac:dyDescent="0.2">
      <c r="E16" t="s">
        <v>579</v>
      </c>
    </row>
    <row r="18" spans="4:13" x14ac:dyDescent="0.2">
      <c r="F18" s="58" t="s">
        <v>585</v>
      </c>
      <c r="G18" s="58"/>
      <c r="H18" s="58"/>
      <c r="I18" s="58"/>
      <c r="J18" s="58"/>
      <c r="K18" s="58"/>
      <c r="L18" s="58"/>
    </row>
    <row r="19" spans="4:13" x14ac:dyDescent="0.2">
      <c r="E19" t="s">
        <v>570</v>
      </c>
      <c r="F19" t="s">
        <v>560</v>
      </c>
      <c r="G19" t="s">
        <v>561</v>
      </c>
      <c r="H19" t="s">
        <v>558</v>
      </c>
      <c r="I19" t="s">
        <v>562</v>
      </c>
      <c r="J19" t="s">
        <v>580</v>
      </c>
      <c r="K19" t="s">
        <v>581</v>
      </c>
      <c r="L19" t="s">
        <v>596</v>
      </c>
    </row>
    <row r="20" spans="4:13" x14ac:dyDescent="0.2">
      <c r="D20">
        <v>1</v>
      </c>
      <c r="E20" t="s">
        <v>559</v>
      </c>
      <c r="F20">
        <v>52.5</v>
      </c>
      <c r="G20">
        <v>60</v>
      </c>
      <c r="H20">
        <v>66</v>
      </c>
      <c r="I20">
        <f>F20/H20</f>
        <v>0.79545454545454541</v>
      </c>
      <c r="J20">
        <v>13</v>
      </c>
      <c r="K20">
        <v>32</v>
      </c>
      <c r="L20">
        <f>(K20-J20)/J20</f>
        <v>1.4615384615384615</v>
      </c>
      <c r="M20">
        <f>1.14*0.76</f>
        <v>0.86639999999999995</v>
      </c>
    </row>
    <row r="21" spans="4:13" x14ac:dyDescent="0.2">
      <c r="D21">
        <v>2</v>
      </c>
      <c r="E21" t="s">
        <v>559</v>
      </c>
      <c r="F21">
        <v>52.5</v>
      </c>
      <c r="G21">
        <v>60</v>
      </c>
      <c r="H21">
        <v>63</v>
      </c>
      <c r="I21">
        <f t="shared" ref="I21:I54" si="0">F21/H21</f>
        <v>0.83333333333333337</v>
      </c>
      <c r="J21">
        <v>15</v>
      </c>
      <c r="K21">
        <v>30</v>
      </c>
      <c r="L21">
        <f t="shared" ref="L21:L25" si="1">(K21-J21)/J21</f>
        <v>1</v>
      </c>
    </row>
    <row r="22" spans="4:13" x14ac:dyDescent="0.2">
      <c r="D22">
        <v>3</v>
      </c>
      <c r="E22" t="s">
        <v>559</v>
      </c>
      <c r="F22">
        <v>49.5</v>
      </c>
      <c r="G22">
        <v>54</v>
      </c>
      <c r="H22">
        <v>64.5</v>
      </c>
      <c r="I22">
        <f t="shared" si="0"/>
        <v>0.76744186046511631</v>
      </c>
      <c r="J22">
        <v>15</v>
      </c>
      <c r="K22">
        <v>32</v>
      </c>
      <c r="L22">
        <f t="shared" si="1"/>
        <v>1.1333333333333333</v>
      </c>
    </row>
    <row r="23" spans="4:13" x14ac:dyDescent="0.2">
      <c r="D23">
        <v>4</v>
      </c>
      <c r="E23" t="s">
        <v>559</v>
      </c>
      <c r="F23">
        <v>52.5</v>
      </c>
      <c r="G23">
        <v>60</v>
      </c>
      <c r="H23">
        <v>67.5</v>
      </c>
      <c r="I23">
        <f t="shared" si="0"/>
        <v>0.77777777777777779</v>
      </c>
      <c r="J23">
        <v>14</v>
      </c>
      <c r="K23">
        <v>32</v>
      </c>
      <c r="L23">
        <f t="shared" si="1"/>
        <v>1.2857142857142858</v>
      </c>
    </row>
    <row r="24" spans="4:13" x14ac:dyDescent="0.2">
      <c r="D24">
        <v>5</v>
      </c>
      <c r="E24" t="s">
        <v>559</v>
      </c>
      <c r="F24">
        <v>50</v>
      </c>
      <c r="G24">
        <v>58</v>
      </c>
      <c r="H24">
        <v>63</v>
      </c>
      <c r="I24">
        <f t="shared" si="0"/>
        <v>0.79365079365079361</v>
      </c>
      <c r="J24">
        <v>12</v>
      </c>
      <c r="K24">
        <v>28</v>
      </c>
      <c r="L24">
        <f t="shared" si="1"/>
        <v>1.3333333333333333</v>
      </c>
    </row>
    <row r="25" spans="4:13" x14ac:dyDescent="0.2">
      <c r="D25">
        <v>6</v>
      </c>
      <c r="E25" t="s">
        <v>559</v>
      </c>
      <c r="F25">
        <v>51</v>
      </c>
      <c r="G25">
        <v>57</v>
      </c>
      <c r="H25">
        <v>62</v>
      </c>
      <c r="I25">
        <f t="shared" si="0"/>
        <v>0.82258064516129037</v>
      </c>
      <c r="J25">
        <v>13</v>
      </c>
      <c r="K25">
        <v>30</v>
      </c>
      <c r="L25">
        <f t="shared" si="1"/>
        <v>1.3076923076923077</v>
      </c>
    </row>
    <row r="26" spans="4:13" x14ac:dyDescent="0.2">
      <c r="D26">
        <v>7</v>
      </c>
      <c r="E26" t="s">
        <v>559</v>
      </c>
      <c r="F26">
        <v>50</v>
      </c>
      <c r="G26">
        <v>56</v>
      </c>
      <c r="H26">
        <v>60</v>
      </c>
      <c r="I26">
        <f t="shared" si="0"/>
        <v>0.83333333333333337</v>
      </c>
      <c r="L26" t="s">
        <v>569</v>
      </c>
      <c r="M26">
        <v>0.82</v>
      </c>
    </row>
    <row r="27" spans="4:13" x14ac:dyDescent="0.2">
      <c r="D27">
        <v>8</v>
      </c>
      <c r="E27" t="s">
        <v>559</v>
      </c>
      <c r="F27">
        <v>53</v>
      </c>
      <c r="G27">
        <v>59</v>
      </c>
      <c r="H27">
        <v>69</v>
      </c>
      <c r="I27">
        <f t="shared" si="0"/>
        <v>0.76811594202898548</v>
      </c>
      <c r="L27" t="s">
        <v>568</v>
      </c>
      <c r="M27">
        <f>STDEV(I20:I54)</f>
        <v>4.0783087088649132E-2</v>
      </c>
    </row>
    <row r="28" spans="4:13" x14ac:dyDescent="0.2">
      <c r="D28">
        <v>9</v>
      </c>
      <c r="E28" t="s">
        <v>559</v>
      </c>
      <c r="F28">
        <v>57</v>
      </c>
      <c r="G28">
        <v>60</v>
      </c>
      <c r="H28">
        <v>65</v>
      </c>
      <c r="I28">
        <f t="shared" si="0"/>
        <v>0.87692307692307692</v>
      </c>
    </row>
    <row r="29" spans="4:13" x14ac:dyDescent="0.2">
      <c r="D29">
        <v>10</v>
      </c>
      <c r="E29" t="s">
        <v>559</v>
      </c>
      <c r="F29">
        <v>50</v>
      </c>
      <c r="G29">
        <v>58</v>
      </c>
      <c r="H29">
        <v>64</v>
      </c>
      <c r="I29">
        <f t="shared" si="0"/>
        <v>0.78125</v>
      </c>
    </row>
    <row r="30" spans="4:13" x14ac:dyDescent="0.2">
      <c r="D30">
        <v>11</v>
      </c>
      <c r="E30" t="s">
        <v>559</v>
      </c>
      <c r="F30">
        <v>50</v>
      </c>
      <c r="G30">
        <v>57</v>
      </c>
      <c r="H30">
        <v>63</v>
      </c>
      <c r="I30">
        <f t="shared" si="0"/>
        <v>0.79365079365079361</v>
      </c>
    </row>
    <row r="31" spans="4:13" x14ac:dyDescent="0.2">
      <c r="D31">
        <v>12</v>
      </c>
      <c r="E31" t="s">
        <v>559</v>
      </c>
      <c r="F31">
        <v>52</v>
      </c>
      <c r="G31">
        <v>59</v>
      </c>
      <c r="H31">
        <v>64</v>
      </c>
      <c r="I31">
        <f t="shared" si="0"/>
        <v>0.8125</v>
      </c>
    </row>
    <row r="32" spans="4:13" x14ac:dyDescent="0.2">
      <c r="D32">
        <v>13</v>
      </c>
      <c r="E32" t="s">
        <v>559</v>
      </c>
      <c r="F32">
        <v>50</v>
      </c>
      <c r="G32">
        <v>55</v>
      </c>
      <c r="H32">
        <v>66</v>
      </c>
      <c r="I32">
        <f t="shared" si="0"/>
        <v>0.75757575757575757</v>
      </c>
    </row>
    <row r="33" spans="4:9" x14ac:dyDescent="0.2">
      <c r="D33">
        <v>14</v>
      </c>
      <c r="E33" t="s">
        <v>559</v>
      </c>
      <c r="F33">
        <v>54</v>
      </c>
      <c r="G33">
        <v>60</v>
      </c>
      <c r="H33">
        <v>65</v>
      </c>
      <c r="I33">
        <f t="shared" si="0"/>
        <v>0.83076923076923082</v>
      </c>
    </row>
    <row r="34" spans="4:9" x14ac:dyDescent="0.2">
      <c r="D34">
        <v>15</v>
      </c>
      <c r="E34" t="s">
        <v>559</v>
      </c>
      <c r="F34">
        <v>51</v>
      </c>
      <c r="G34">
        <v>55</v>
      </c>
      <c r="H34">
        <v>65</v>
      </c>
      <c r="I34">
        <f t="shared" si="0"/>
        <v>0.7846153846153846</v>
      </c>
    </row>
    <row r="35" spans="4:9" x14ac:dyDescent="0.2">
      <c r="D35">
        <v>16</v>
      </c>
      <c r="E35" t="s">
        <v>559</v>
      </c>
      <c r="F35">
        <v>51</v>
      </c>
      <c r="G35">
        <v>60</v>
      </c>
      <c r="H35">
        <v>65</v>
      </c>
      <c r="I35">
        <f t="shared" si="0"/>
        <v>0.7846153846153846</v>
      </c>
    </row>
    <row r="36" spans="4:9" x14ac:dyDescent="0.2">
      <c r="D36">
        <v>17</v>
      </c>
      <c r="E36" t="s">
        <v>559</v>
      </c>
      <c r="F36">
        <v>50</v>
      </c>
      <c r="G36">
        <v>57</v>
      </c>
      <c r="H36">
        <v>63</v>
      </c>
      <c r="I36">
        <f t="shared" si="0"/>
        <v>0.79365079365079361</v>
      </c>
    </row>
    <row r="37" spans="4:9" x14ac:dyDescent="0.2">
      <c r="D37">
        <v>18</v>
      </c>
      <c r="E37" t="s">
        <v>559</v>
      </c>
      <c r="F37">
        <v>51</v>
      </c>
      <c r="G37">
        <v>57</v>
      </c>
      <c r="H37">
        <v>64</v>
      </c>
      <c r="I37">
        <f t="shared" si="0"/>
        <v>0.796875</v>
      </c>
    </row>
    <row r="38" spans="4:9" x14ac:dyDescent="0.2">
      <c r="D38">
        <v>19</v>
      </c>
      <c r="E38" t="s">
        <v>559</v>
      </c>
      <c r="F38">
        <v>49</v>
      </c>
      <c r="G38">
        <v>56</v>
      </c>
      <c r="H38">
        <v>60</v>
      </c>
      <c r="I38">
        <f t="shared" si="0"/>
        <v>0.81666666666666665</v>
      </c>
    </row>
    <row r="39" spans="4:9" x14ac:dyDescent="0.2">
      <c r="D39">
        <v>20</v>
      </c>
      <c r="E39" t="s">
        <v>559</v>
      </c>
      <c r="F39">
        <v>49</v>
      </c>
      <c r="G39">
        <v>56</v>
      </c>
      <c r="H39">
        <v>60</v>
      </c>
      <c r="I39">
        <f t="shared" si="0"/>
        <v>0.81666666666666665</v>
      </c>
    </row>
    <row r="40" spans="4:9" x14ac:dyDescent="0.2">
      <c r="D40">
        <v>21</v>
      </c>
      <c r="E40" t="s">
        <v>559</v>
      </c>
      <c r="F40">
        <v>49</v>
      </c>
      <c r="H40">
        <v>61</v>
      </c>
      <c r="I40">
        <f t="shared" si="0"/>
        <v>0.80327868852459017</v>
      </c>
    </row>
    <row r="41" spans="4:9" x14ac:dyDescent="0.2">
      <c r="D41">
        <v>22</v>
      </c>
      <c r="E41" t="s">
        <v>559</v>
      </c>
      <c r="F41">
        <v>52</v>
      </c>
      <c r="H41">
        <v>61</v>
      </c>
      <c r="I41">
        <f t="shared" si="0"/>
        <v>0.85245901639344257</v>
      </c>
    </row>
    <row r="42" spans="4:9" x14ac:dyDescent="0.2">
      <c r="D42">
        <v>23</v>
      </c>
      <c r="E42" t="s">
        <v>559</v>
      </c>
      <c r="F42">
        <v>51</v>
      </c>
      <c r="H42">
        <v>58</v>
      </c>
      <c r="I42">
        <f t="shared" si="0"/>
        <v>0.87931034482758619</v>
      </c>
    </row>
    <row r="43" spans="4:9" x14ac:dyDescent="0.2">
      <c r="D43">
        <v>24</v>
      </c>
      <c r="E43" t="s">
        <v>559</v>
      </c>
      <c r="F43">
        <v>50</v>
      </c>
      <c r="H43">
        <v>62</v>
      </c>
      <c r="I43">
        <f t="shared" si="0"/>
        <v>0.80645161290322576</v>
      </c>
    </row>
    <row r="44" spans="4:9" x14ac:dyDescent="0.2">
      <c r="D44">
        <v>25</v>
      </c>
      <c r="E44" t="s">
        <v>559</v>
      </c>
      <c r="F44">
        <v>50</v>
      </c>
      <c r="H44">
        <v>65</v>
      </c>
      <c r="I44">
        <f t="shared" si="0"/>
        <v>0.76923076923076927</v>
      </c>
    </row>
    <row r="45" spans="4:9" x14ac:dyDescent="0.2">
      <c r="D45">
        <v>26</v>
      </c>
      <c r="E45" t="s">
        <v>559</v>
      </c>
      <c r="F45">
        <v>52</v>
      </c>
      <c r="H45">
        <v>64</v>
      </c>
      <c r="I45">
        <f t="shared" si="0"/>
        <v>0.8125</v>
      </c>
    </row>
    <row r="46" spans="4:9" x14ac:dyDescent="0.2">
      <c r="D46">
        <v>27</v>
      </c>
      <c r="E46" t="s">
        <v>559</v>
      </c>
      <c r="F46">
        <v>53</v>
      </c>
      <c r="H46">
        <v>64</v>
      </c>
      <c r="I46">
        <f t="shared" si="0"/>
        <v>0.828125</v>
      </c>
    </row>
    <row r="47" spans="4:9" x14ac:dyDescent="0.2">
      <c r="D47">
        <v>28</v>
      </c>
      <c r="E47" t="s">
        <v>559</v>
      </c>
      <c r="F47">
        <v>53</v>
      </c>
      <c r="H47">
        <v>65</v>
      </c>
      <c r="I47">
        <f t="shared" si="0"/>
        <v>0.81538461538461537</v>
      </c>
    </row>
    <row r="48" spans="4:9" x14ac:dyDescent="0.2">
      <c r="D48">
        <v>29</v>
      </c>
      <c r="E48" t="s">
        <v>559</v>
      </c>
      <c r="F48">
        <v>49</v>
      </c>
      <c r="H48">
        <v>57</v>
      </c>
      <c r="I48">
        <f t="shared" si="0"/>
        <v>0.85964912280701755</v>
      </c>
    </row>
    <row r="49" spans="2:16" x14ac:dyDescent="0.2">
      <c r="D49">
        <v>30</v>
      </c>
      <c r="E49" t="s">
        <v>559</v>
      </c>
      <c r="F49">
        <v>50</v>
      </c>
      <c r="H49">
        <v>63</v>
      </c>
      <c r="I49">
        <f t="shared" si="0"/>
        <v>0.79365079365079361</v>
      </c>
    </row>
    <row r="50" spans="2:16" x14ac:dyDescent="0.2">
      <c r="B50" t="s">
        <v>566</v>
      </c>
      <c r="C50">
        <v>109479</v>
      </c>
      <c r="D50">
        <v>31</v>
      </c>
      <c r="E50" t="s">
        <v>559</v>
      </c>
      <c r="F50">
        <v>55</v>
      </c>
      <c r="H50">
        <v>60</v>
      </c>
      <c r="I50">
        <f t="shared" ref="I50" si="2">F50/H50</f>
        <v>0.91666666666666663</v>
      </c>
    </row>
    <row r="51" spans="2:16" x14ac:dyDescent="0.2">
      <c r="B51" t="s">
        <v>566</v>
      </c>
      <c r="C51">
        <v>109180</v>
      </c>
      <c r="D51">
        <v>32</v>
      </c>
      <c r="E51" t="s">
        <v>559</v>
      </c>
      <c r="F51">
        <v>55</v>
      </c>
      <c r="H51">
        <v>62</v>
      </c>
      <c r="I51">
        <f t="shared" si="0"/>
        <v>0.88709677419354838</v>
      </c>
    </row>
    <row r="52" spans="2:16" x14ac:dyDescent="0.2">
      <c r="B52" s="1" t="s">
        <v>566</v>
      </c>
      <c r="C52" s="1">
        <v>110655</v>
      </c>
      <c r="D52">
        <v>33</v>
      </c>
      <c r="E52" t="s">
        <v>559</v>
      </c>
      <c r="F52">
        <v>48</v>
      </c>
      <c r="H52">
        <v>55</v>
      </c>
      <c r="I52">
        <f t="shared" si="0"/>
        <v>0.87272727272727268</v>
      </c>
    </row>
    <row r="53" spans="2:16" x14ac:dyDescent="0.2">
      <c r="D53">
        <v>34</v>
      </c>
      <c r="E53" t="s">
        <v>559</v>
      </c>
      <c r="F53">
        <v>50</v>
      </c>
      <c r="H53">
        <v>62</v>
      </c>
      <c r="I53">
        <f t="shared" si="0"/>
        <v>0.80645161290322576</v>
      </c>
    </row>
    <row r="54" spans="2:16" x14ac:dyDescent="0.2">
      <c r="D54">
        <v>35</v>
      </c>
      <c r="E54" t="s">
        <v>559</v>
      </c>
      <c r="F54">
        <v>49</v>
      </c>
      <c r="H54">
        <v>54</v>
      </c>
      <c r="I54">
        <f t="shared" si="0"/>
        <v>0.90740740740740744</v>
      </c>
    </row>
    <row r="55" spans="2:16" x14ac:dyDescent="0.2">
      <c r="B55" s="1" t="s">
        <v>566</v>
      </c>
      <c r="C55" s="1">
        <v>109107</v>
      </c>
      <c r="D55">
        <v>36</v>
      </c>
      <c r="E55" t="s">
        <v>559</v>
      </c>
      <c r="F55">
        <v>59</v>
      </c>
      <c r="H55">
        <v>60</v>
      </c>
      <c r="I55">
        <f t="shared" ref="I55:I150" si="3">F55/H55</f>
        <v>0.98333333333333328</v>
      </c>
    </row>
    <row r="56" spans="2:16" x14ac:dyDescent="0.2">
      <c r="D56">
        <v>1</v>
      </c>
      <c r="E56" t="s">
        <v>567</v>
      </c>
      <c r="F56">
        <v>56</v>
      </c>
      <c r="H56">
        <v>73</v>
      </c>
      <c r="I56">
        <f t="shared" si="3"/>
        <v>0.76712328767123283</v>
      </c>
      <c r="J56">
        <v>17</v>
      </c>
      <c r="K56">
        <v>34</v>
      </c>
      <c r="L56">
        <f t="shared" ref="L56:L61" si="4">(K56-J56)/J56</f>
        <v>1</v>
      </c>
    </row>
    <row r="57" spans="2:16" ht="16" thickBot="1" x14ac:dyDescent="0.25">
      <c r="D57">
        <v>2</v>
      </c>
      <c r="E57" t="s">
        <v>567</v>
      </c>
      <c r="F57">
        <v>51</v>
      </c>
      <c r="H57">
        <v>70</v>
      </c>
      <c r="I57">
        <f t="shared" si="3"/>
        <v>0.72857142857142854</v>
      </c>
      <c r="J57">
        <v>18</v>
      </c>
      <c r="K57">
        <v>32</v>
      </c>
      <c r="L57">
        <f t="shared" si="4"/>
        <v>0.77777777777777779</v>
      </c>
      <c r="N57" t="s">
        <v>571</v>
      </c>
    </row>
    <row r="58" spans="2:16" x14ac:dyDescent="0.2">
      <c r="D58">
        <v>3</v>
      </c>
      <c r="E58" t="s">
        <v>567</v>
      </c>
      <c r="F58">
        <v>54</v>
      </c>
      <c r="H58">
        <v>69</v>
      </c>
      <c r="I58">
        <f t="shared" si="3"/>
        <v>0.78260869565217395</v>
      </c>
      <c r="J58">
        <v>19</v>
      </c>
      <c r="K58">
        <v>35</v>
      </c>
      <c r="L58">
        <f t="shared" si="4"/>
        <v>0.84210526315789469</v>
      </c>
      <c r="N58" s="54"/>
      <c r="O58" s="54" t="s">
        <v>559</v>
      </c>
      <c r="P58" s="54" t="s">
        <v>572</v>
      </c>
    </row>
    <row r="59" spans="2:16" x14ac:dyDescent="0.2">
      <c r="D59">
        <v>4</v>
      </c>
      <c r="E59" t="s">
        <v>567</v>
      </c>
      <c r="F59">
        <v>52</v>
      </c>
      <c r="H59">
        <v>68</v>
      </c>
      <c r="I59">
        <f t="shared" si="3"/>
        <v>0.76470588235294112</v>
      </c>
      <c r="J59">
        <v>15</v>
      </c>
      <c r="K59">
        <v>32</v>
      </c>
      <c r="L59">
        <f t="shared" si="4"/>
        <v>1.1333333333333333</v>
      </c>
      <c r="N59" t="s">
        <v>573</v>
      </c>
      <c r="O59">
        <v>0.82308805603590085</v>
      </c>
      <c r="P59">
        <v>0.76291143016173391</v>
      </c>
    </row>
    <row r="60" spans="2:16" x14ac:dyDescent="0.2">
      <c r="D60">
        <v>5</v>
      </c>
      <c r="E60" t="s">
        <v>567</v>
      </c>
      <c r="F60">
        <v>55</v>
      </c>
      <c r="H60">
        <v>71</v>
      </c>
      <c r="I60">
        <f t="shared" si="3"/>
        <v>0.77464788732394363</v>
      </c>
      <c r="J60">
        <v>18</v>
      </c>
      <c r="K60">
        <v>30</v>
      </c>
      <c r="L60">
        <f t="shared" si="4"/>
        <v>0.66666666666666663</v>
      </c>
      <c r="N60" t="s">
        <v>575</v>
      </c>
      <c r="O60">
        <v>4.868648045433626E-2</v>
      </c>
      <c r="P60">
        <v>1.737639356541287E-2</v>
      </c>
    </row>
    <row r="61" spans="2:16" x14ac:dyDescent="0.2">
      <c r="D61">
        <v>6</v>
      </c>
      <c r="E61" t="s">
        <v>567</v>
      </c>
      <c r="F61">
        <v>55</v>
      </c>
      <c r="H61">
        <v>69</v>
      </c>
      <c r="I61">
        <f t="shared" si="3"/>
        <v>0.79710144927536231</v>
      </c>
      <c r="J61">
        <v>15</v>
      </c>
      <c r="K61">
        <v>30</v>
      </c>
      <c r="L61">
        <f t="shared" si="4"/>
        <v>1</v>
      </c>
      <c r="N61" t="s">
        <v>574</v>
      </c>
      <c r="O61">
        <v>36</v>
      </c>
      <c r="P61">
        <v>26</v>
      </c>
    </row>
    <row r="62" spans="2:16" x14ac:dyDescent="0.2">
      <c r="D62">
        <v>7</v>
      </c>
      <c r="E62" t="s">
        <v>567</v>
      </c>
      <c r="F62">
        <v>54</v>
      </c>
      <c r="H62">
        <v>72</v>
      </c>
      <c r="I62">
        <f t="shared" si="3"/>
        <v>0.75</v>
      </c>
      <c r="N62" t="s">
        <v>576</v>
      </c>
      <c r="O62" t="s">
        <v>577</v>
      </c>
    </row>
    <row r="63" spans="2:16" x14ac:dyDescent="0.2">
      <c r="D63">
        <v>8</v>
      </c>
      <c r="E63" t="s">
        <v>567</v>
      </c>
      <c r="F63">
        <v>54</v>
      </c>
      <c r="H63">
        <v>70</v>
      </c>
      <c r="I63">
        <f t="shared" si="3"/>
        <v>0.77142857142857146</v>
      </c>
    </row>
    <row r="64" spans="2:16" x14ac:dyDescent="0.2">
      <c r="D64">
        <v>9</v>
      </c>
      <c r="E64" t="s">
        <v>567</v>
      </c>
      <c r="F64">
        <v>54</v>
      </c>
      <c r="H64">
        <v>72</v>
      </c>
      <c r="I64">
        <f t="shared" si="3"/>
        <v>0.75</v>
      </c>
    </row>
    <row r="65" spans="4:20" x14ac:dyDescent="0.2">
      <c r="D65">
        <v>10</v>
      </c>
      <c r="E65" t="s">
        <v>567</v>
      </c>
      <c r="F65">
        <v>53</v>
      </c>
      <c r="H65">
        <v>70</v>
      </c>
      <c r="I65">
        <f t="shared" si="3"/>
        <v>0.75714285714285712</v>
      </c>
    </row>
    <row r="66" spans="4:20" x14ac:dyDescent="0.2">
      <c r="D66">
        <v>11</v>
      </c>
      <c r="E66" t="s">
        <v>567</v>
      </c>
      <c r="F66">
        <v>54</v>
      </c>
      <c r="H66">
        <v>70</v>
      </c>
      <c r="I66">
        <f t="shared" si="3"/>
        <v>0.77142857142857146</v>
      </c>
      <c r="M66">
        <f>178/226</f>
        <v>0.78761061946902655</v>
      </c>
    </row>
    <row r="67" spans="4:20" x14ac:dyDescent="0.2">
      <c r="D67">
        <v>12</v>
      </c>
      <c r="E67" t="s">
        <v>567</v>
      </c>
      <c r="F67">
        <v>55</v>
      </c>
      <c r="H67">
        <v>72</v>
      </c>
      <c r="I67">
        <f t="shared" si="3"/>
        <v>0.76388888888888884</v>
      </c>
    </row>
    <row r="68" spans="4:20" x14ac:dyDescent="0.2">
      <c r="D68">
        <v>13</v>
      </c>
      <c r="E68" t="s">
        <v>567</v>
      </c>
      <c r="F68">
        <v>56</v>
      </c>
      <c r="H68">
        <v>74</v>
      </c>
      <c r="I68">
        <f t="shared" si="3"/>
        <v>0.7567567567567568</v>
      </c>
    </row>
    <row r="69" spans="4:20" x14ac:dyDescent="0.2">
      <c r="D69">
        <v>14</v>
      </c>
      <c r="E69" t="s">
        <v>567</v>
      </c>
      <c r="F69">
        <v>57</v>
      </c>
      <c r="H69">
        <v>76</v>
      </c>
      <c r="I69">
        <f t="shared" si="3"/>
        <v>0.75</v>
      </c>
    </row>
    <row r="70" spans="4:20" x14ac:dyDescent="0.2">
      <c r="D70">
        <v>15</v>
      </c>
      <c r="E70" t="s">
        <v>567</v>
      </c>
      <c r="F70">
        <v>53</v>
      </c>
      <c r="H70">
        <v>70</v>
      </c>
      <c r="I70">
        <f t="shared" si="3"/>
        <v>0.75714285714285712</v>
      </c>
    </row>
    <row r="71" spans="4:20" x14ac:dyDescent="0.2">
      <c r="D71">
        <v>16</v>
      </c>
      <c r="E71" t="s">
        <v>567</v>
      </c>
      <c r="F71">
        <v>58</v>
      </c>
      <c r="H71">
        <v>74</v>
      </c>
      <c r="I71">
        <f t="shared" si="3"/>
        <v>0.78378378378378377</v>
      </c>
      <c r="N71" s="59" t="s">
        <v>604</v>
      </c>
      <c r="O71" t="s">
        <v>609</v>
      </c>
      <c r="P71" t="s">
        <v>606</v>
      </c>
      <c r="Q71" t="s">
        <v>610</v>
      </c>
      <c r="R71" t="s">
        <v>608</v>
      </c>
      <c r="S71" t="s">
        <v>607</v>
      </c>
      <c r="T71" t="s">
        <v>611</v>
      </c>
    </row>
    <row r="72" spans="4:20" x14ac:dyDescent="0.2">
      <c r="D72">
        <v>17</v>
      </c>
      <c r="E72" t="s">
        <v>567</v>
      </c>
      <c r="F72">
        <v>58</v>
      </c>
      <c r="H72">
        <v>75</v>
      </c>
      <c r="I72">
        <f t="shared" si="3"/>
        <v>0.77333333333333332</v>
      </c>
      <c r="N72" s="60" t="s">
        <v>602</v>
      </c>
      <c r="O72">
        <v>5</v>
      </c>
      <c r="P72">
        <v>0.82944727450544953</v>
      </c>
      <c r="Q72">
        <v>3.3257646672451562E-2</v>
      </c>
      <c r="R72">
        <v>0.99091503267973857</v>
      </c>
      <c r="S72">
        <v>5</v>
      </c>
      <c r="T72">
        <v>0.21221815608706315</v>
      </c>
    </row>
    <row r="73" spans="4:20" x14ac:dyDescent="0.2">
      <c r="D73">
        <v>18</v>
      </c>
      <c r="E73" t="s">
        <v>567</v>
      </c>
      <c r="F73">
        <v>55</v>
      </c>
      <c r="H73">
        <v>71</v>
      </c>
      <c r="I73">
        <f t="shared" si="3"/>
        <v>0.77464788732394363</v>
      </c>
      <c r="N73" s="60" t="s">
        <v>567</v>
      </c>
      <c r="O73">
        <v>26</v>
      </c>
      <c r="P73">
        <v>0.76291143016173391</v>
      </c>
      <c r="Q73">
        <v>1.7376393565420201E-2</v>
      </c>
      <c r="R73">
        <v>0.9033138401559454</v>
      </c>
      <c r="S73">
        <v>6</v>
      </c>
      <c r="T73">
        <v>0.17153021414804395</v>
      </c>
    </row>
    <row r="74" spans="4:20" x14ac:dyDescent="0.2">
      <c r="D74">
        <v>19</v>
      </c>
      <c r="E74" t="s">
        <v>567</v>
      </c>
      <c r="F74">
        <v>56</v>
      </c>
      <c r="H74">
        <v>71</v>
      </c>
      <c r="I74">
        <f t="shared" si="3"/>
        <v>0.78873239436619713</v>
      </c>
      <c r="N74" s="60" t="s">
        <v>598</v>
      </c>
      <c r="O74">
        <v>11</v>
      </c>
      <c r="P74">
        <v>0.78826419398192837</v>
      </c>
      <c r="Q74">
        <v>2.2850319212492795E-2</v>
      </c>
      <c r="R74">
        <v>0.96486013986013996</v>
      </c>
      <c r="S74">
        <v>10</v>
      </c>
      <c r="T74">
        <v>0.14545022093681495</v>
      </c>
    </row>
    <row r="75" spans="4:20" x14ac:dyDescent="0.2">
      <c r="D75">
        <v>20</v>
      </c>
      <c r="E75" t="s">
        <v>567</v>
      </c>
      <c r="F75">
        <v>57</v>
      </c>
      <c r="H75">
        <v>77</v>
      </c>
      <c r="I75">
        <f t="shared" si="3"/>
        <v>0.74025974025974028</v>
      </c>
      <c r="N75" s="60" t="s">
        <v>601</v>
      </c>
      <c r="O75">
        <v>3</v>
      </c>
      <c r="P75">
        <v>0.79784933873713326</v>
      </c>
      <c r="Q75">
        <v>1.3955973329733588E-2</v>
      </c>
      <c r="R75">
        <v>0.85297619047619044</v>
      </c>
      <c r="S75">
        <v>3</v>
      </c>
      <c r="T75">
        <v>0.1973705767276949</v>
      </c>
    </row>
    <row r="76" spans="4:20" x14ac:dyDescent="0.2">
      <c r="D76">
        <v>21</v>
      </c>
      <c r="E76" t="s">
        <v>567</v>
      </c>
      <c r="F76">
        <v>58</v>
      </c>
      <c r="H76">
        <v>76</v>
      </c>
      <c r="I76">
        <f t="shared" si="3"/>
        <v>0.76315789473684215</v>
      </c>
      <c r="N76" s="60" t="s">
        <v>603</v>
      </c>
      <c r="O76">
        <v>2</v>
      </c>
      <c r="P76">
        <v>0.80098039215686279</v>
      </c>
      <c r="Q76">
        <v>9.2894420273527567E-2</v>
      </c>
      <c r="R76">
        <v>0.95378151260504196</v>
      </c>
      <c r="S76">
        <v>2</v>
      </c>
      <c r="T76">
        <v>0.26739332061676208</v>
      </c>
    </row>
    <row r="77" spans="4:20" x14ac:dyDescent="0.2">
      <c r="D77">
        <v>22</v>
      </c>
      <c r="E77" t="s">
        <v>567</v>
      </c>
      <c r="F77">
        <v>56</v>
      </c>
      <c r="H77">
        <v>76</v>
      </c>
      <c r="I77">
        <f t="shared" si="3"/>
        <v>0.73684210526315785</v>
      </c>
      <c r="N77" s="60" t="s">
        <v>559</v>
      </c>
      <c r="O77">
        <v>36</v>
      </c>
      <c r="P77">
        <v>0.82308805603590085</v>
      </c>
      <c r="Q77">
        <v>4.8686480454333561E-2</v>
      </c>
      <c r="R77">
        <v>1.2536019536019536</v>
      </c>
      <c r="S77">
        <v>8</v>
      </c>
      <c r="T77">
        <v>0.16268383104541001</v>
      </c>
    </row>
    <row r="78" spans="4:20" x14ac:dyDescent="0.2">
      <c r="D78">
        <v>23</v>
      </c>
      <c r="E78" t="s">
        <v>567</v>
      </c>
      <c r="F78">
        <v>53</v>
      </c>
      <c r="H78">
        <v>72</v>
      </c>
      <c r="I78">
        <f t="shared" si="3"/>
        <v>0.73611111111111116</v>
      </c>
      <c r="N78" s="60" t="s">
        <v>583</v>
      </c>
      <c r="O78">
        <v>1</v>
      </c>
      <c r="P78">
        <v>0.72727272727272729</v>
      </c>
      <c r="Q78" t="e">
        <v>#DIV/0!</v>
      </c>
      <c r="R78">
        <v>1.0555555555555556</v>
      </c>
      <c r="S78">
        <v>1</v>
      </c>
      <c r="T78" t="e">
        <v>#DIV/0!</v>
      </c>
    </row>
    <row r="79" spans="4:20" x14ac:dyDescent="0.2">
      <c r="D79">
        <v>24</v>
      </c>
      <c r="E79" t="s">
        <v>567</v>
      </c>
      <c r="F79">
        <v>55</v>
      </c>
      <c r="H79">
        <v>70</v>
      </c>
      <c r="I79">
        <f t="shared" si="3"/>
        <v>0.7857142857142857</v>
      </c>
      <c r="N79" s="60" t="s">
        <v>586</v>
      </c>
      <c r="O79">
        <v>1</v>
      </c>
      <c r="P79">
        <v>0.98333333333333328</v>
      </c>
      <c r="Q79" t="e">
        <v>#DIV/0!</v>
      </c>
      <c r="R79">
        <v>0.8666666666666667</v>
      </c>
      <c r="S79">
        <v>1</v>
      </c>
      <c r="T79" t="e">
        <v>#DIV/0!</v>
      </c>
    </row>
    <row r="80" spans="4:20" x14ac:dyDescent="0.2">
      <c r="D80">
        <v>25</v>
      </c>
      <c r="E80" t="s">
        <v>567</v>
      </c>
      <c r="F80">
        <v>55</v>
      </c>
      <c r="H80">
        <v>73</v>
      </c>
      <c r="I80">
        <f t="shared" si="3"/>
        <v>0.75342465753424659</v>
      </c>
      <c r="N80" s="60" t="s">
        <v>587</v>
      </c>
      <c r="O80">
        <v>1</v>
      </c>
      <c r="P80">
        <v>1.0185185185185186</v>
      </c>
      <c r="Q80" t="e">
        <v>#DIV/0!</v>
      </c>
      <c r="R80">
        <v>1.0833333333333333</v>
      </c>
      <c r="S80">
        <v>1</v>
      </c>
      <c r="T80" t="e">
        <v>#DIV/0!</v>
      </c>
    </row>
    <row r="81" spans="3:23" x14ac:dyDescent="0.2">
      <c r="D81">
        <v>26</v>
      </c>
      <c r="E81" t="s">
        <v>567</v>
      </c>
      <c r="F81">
        <v>53</v>
      </c>
      <c r="H81">
        <v>70</v>
      </c>
      <c r="I81">
        <f t="shared" si="3"/>
        <v>0.75714285714285712</v>
      </c>
      <c r="N81" s="60" t="s">
        <v>578</v>
      </c>
      <c r="O81">
        <v>6</v>
      </c>
      <c r="P81">
        <v>0.81337099811676072</v>
      </c>
      <c r="Q81">
        <v>1.2472532516345442E-2</v>
      </c>
      <c r="R81">
        <v>0.85252747252747252</v>
      </c>
      <c r="S81">
        <v>5</v>
      </c>
      <c r="T81">
        <v>0.14980108642900622</v>
      </c>
    </row>
    <row r="82" spans="3:23" x14ac:dyDescent="0.2">
      <c r="C82">
        <v>114423</v>
      </c>
      <c r="D82" t="s">
        <v>649</v>
      </c>
      <c r="F82">
        <v>59</v>
      </c>
      <c r="H82">
        <v>72</v>
      </c>
      <c r="I82">
        <f t="shared" si="3"/>
        <v>0.81944444444444442</v>
      </c>
      <c r="N82" s="60" t="s">
        <v>599</v>
      </c>
      <c r="O82">
        <v>10</v>
      </c>
      <c r="P82">
        <v>0.77378893709244301</v>
      </c>
      <c r="Q82">
        <v>1.5082074435058941E-2</v>
      </c>
      <c r="R82">
        <v>1.2441580478345184</v>
      </c>
      <c r="S82">
        <v>9</v>
      </c>
      <c r="T82">
        <v>0.19389027343397486</v>
      </c>
    </row>
    <row r="83" spans="3:23" x14ac:dyDescent="0.2">
      <c r="D83">
        <v>1</v>
      </c>
      <c r="E83" t="s">
        <v>578</v>
      </c>
      <c r="F83">
        <v>48</v>
      </c>
      <c r="H83">
        <v>60</v>
      </c>
      <c r="I83">
        <f t="shared" si="3"/>
        <v>0.8</v>
      </c>
      <c r="J83">
        <v>14</v>
      </c>
      <c r="K83">
        <v>25</v>
      </c>
      <c r="L83">
        <f t="shared" ref="L83:L138" si="5">(K83-J83)/J83</f>
        <v>0.7857142857142857</v>
      </c>
      <c r="N83" s="60" t="s">
        <v>597</v>
      </c>
      <c r="O83">
        <v>6</v>
      </c>
      <c r="P83">
        <v>1.0168106696613355</v>
      </c>
      <c r="Q83">
        <v>0.10413133155655739</v>
      </c>
      <c r="R83">
        <v>1.0350221172589593</v>
      </c>
      <c r="S83">
        <v>6</v>
      </c>
      <c r="T83">
        <v>0.25338975786521023</v>
      </c>
    </row>
    <row r="84" spans="3:23" x14ac:dyDescent="0.2">
      <c r="D84">
        <v>2</v>
      </c>
      <c r="E84" t="s">
        <v>578</v>
      </c>
      <c r="F84">
        <v>48</v>
      </c>
      <c r="H84">
        <v>59</v>
      </c>
      <c r="I84">
        <f t="shared" si="3"/>
        <v>0.81355932203389836</v>
      </c>
      <c r="J84">
        <v>15</v>
      </c>
      <c r="K84">
        <v>28</v>
      </c>
      <c r="L84">
        <f t="shared" si="5"/>
        <v>0.8666666666666667</v>
      </c>
      <c r="N84" s="60" t="s">
        <v>600</v>
      </c>
      <c r="O84">
        <v>10</v>
      </c>
      <c r="P84">
        <v>0.8130520634463213</v>
      </c>
      <c r="Q84">
        <v>3.1427273438327442E-2</v>
      </c>
      <c r="R84">
        <v>1.2061721611721612</v>
      </c>
      <c r="S84">
        <v>10</v>
      </c>
      <c r="T84">
        <v>0.16957553258979899</v>
      </c>
      <c r="W84" s="79"/>
    </row>
    <row r="85" spans="3:23" x14ac:dyDescent="0.2">
      <c r="D85">
        <v>3</v>
      </c>
      <c r="E85" t="s">
        <v>578</v>
      </c>
      <c r="F85">
        <v>50</v>
      </c>
      <c r="H85">
        <v>60</v>
      </c>
      <c r="I85">
        <f t="shared" si="3"/>
        <v>0.83333333333333337</v>
      </c>
      <c r="J85">
        <v>15</v>
      </c>
      <c r="K85">
        <v>28</v>
      </c>
      <c r="L85">
        <f t="shared" si="5"/>
        <v>0.8666666666666667</v>
      </c>
      <c r="N85" s="60" t="s">
        <v>650</v>
      </c>
      <c r="O85">
        <v>1</v>
      </c>
      <c r="P85">
        <v>0.81944444444444442</v>
      </c>
      <c r="Q85" t="e">
        <v>#DIV/0!</v>
      </c>
    </row>
    <row r="86" spans="3:23" x14ac:dyDescent="0.2">
      <c r="D86">
        <v>4</v>
      </c>
      <c r="E86" t="s">
        <v>578</v>
      </c>
      <c r="F86">
        <v>48</v>
      </c>
      <c r="H86">
        <v>60</v>
      </c>
      <c r="I86">
        <f t="shared" si="3"/>
        <v>0.8</v>
      </c>
      <c r="J86">
        <v>13</v>
      </c>
      <c r="K86">
        <v>27</v>
      </c>
      <c r="L86">
        <f t="shared" si="5"/>
        <v>1.0769230769230769</v>
      </c>
      <c r="N86" s="60" t="s">
        <v>605</v>
      </c>
      <c r="O86">
        <v>119</v>
      </c>
      <c r="P86">
        <v>0.81242510541156587</v>
      </c>
      <c r="Q86">
        <v>7.1085588127484584E-2</v>
      </c>
      <c r="R86">
        <v>1.0576712705410019</v>
      </c>
      <c r="S86">
        <v>67</v>
      </c>
      <c r="T86">
        <v>0.22300878072147989</v>
      </c>
    </row>
    <row r="87" spans="3:23" x14ac:dyDescent="0.2">
      <c r="D87">
        <v>5</v>
      </c>
      <c r="E87" t="s">
        <v>578</v>
      </c>
      <c r="F87">
        <v>49</v>
      </c>
      <c r="H87">
        <v>60</v>
      </c>
      <c r="I87">
        <f t="shared" si="3"/>
        <v>0.81666666666666665</v>
      </c>
      <c r="J87">
        <v>15</v>
      </c>
      <c r="K87">
        <v>25</v>
      </c>
      <c r="L87">
        <f t="shared" si="5"/>
        <v>0.66666666666666663</v>
      </c>
    </row>
    <row r="88" spans="3:23" x14ac:dyDescent="0.2">
      <c r="D88">
        <v>6</v>
      </c>
      <c r="E88" t="s">
        <v>578</v>
      </c>
      <c r="F88">
        <v>49</v>
      </c>
      <c r="H88">
        <v>60</v>
      </c>
      <c r="I88">
        <f t="shared" si="3"/>
        <v>0.81666666666666665</v>
      </c>
    </row>
    <row r="89" spans="3:23" x14ac:dyDescent="0.2">
      <c r="E89" t="s">
        <v>583</v>
      </c>
      <c r="F89">
        <v>56</v>
      </c>
      <c r="H89">
        <v>77</v>
      </c>
      <c r="I89">
        <f t="shared" si="3"/>
        <v>0.72727272727272729</v>
      </c>
      <c r="J89">
        <v>18</v>
      </c>
      <c r="K89">
        <v>37</v>
      </c>
      <c r="L89">
        <f t="shared" si="5"/>
        <v>1.0555555555555556</v>
      </c>
    </row>
    <row r="90" spans="3:23" x14ac:dyDescent="0.2">
      <c r="E90" t="s">
        <v>586</v>
      </c>
      <c r="F90">
        <v>59</v>
      </c>
      <c r="H90">
        <v>60</v>
      </c>
      <c r="I90">
        <f t="shared" si="3"/>
        <v>0.98333333333333328</v>
      </c>
      <c r="J90">
        <v>15</v>
      </c>
      <c r="K90">
        <v>28</v>
      </c>
      <c r="L90">
        <f t="shared" si="5"/>
        <v>0.8666666666666667</v>
      </c>
    </row>
    <row r="91" spans="3:23" x14ac:dyDescent="0.2">
      <c r="E91" t="s">
        <v>587</v>
      </c>
      <c r="F91">
        <v>55</v>
      </c>
      <c r="H91">
        <v>54</v>
      </c>
      <c r="I91">
        <f t="shared" si="3"/>
        <v>1.0185185185185186</v>
      </c>
      <c r="J91">
        <v>12</v>
      </c>
      <c r="K91">
        <v>25</v>
      </c>
      <c r="L91">
        <f t="shared" si="5"/>
        <v>1.0833333333333333</v>
      </c>
    </row>
    <row r="92" spans="3:23" x14ac:dyDescent="0.2">
      <c r="E92" t="s">
        <v>597</v>
      </c>
      <c r="F92">
        <v>64</v>
      </c>
      <c r="H92">
        <v>71</v>
      </c>
      <c r="I92">
        <f t="shared" si="3"/>
        <v>0.90140845070422537</v>
      </c>
      <c r="J92">
        <v>13</v>
      </c>
      <c r="K92">
        <v>28</v>
      </c>
      <c r="L92">
        <f t="shared" si="5"/>
        <v>1.1538461538461537</v>
      </c>
      <c r="N92" t="s">
        <v>638</v>
      </c>
      <c r="O92" t="s">
        <v>613</v>
      </c>
      <c r="P92" t="s">
        <v>639</v>
      </c>
      <c r="Q92" t="s">
        <v>640</v>
      </c>
      <c r="R92" t="s">
        <v>641</v>
      </c>
      <c r="S92" t="s">
        <v>614</v>
      </c>
      <c r="T92" t="s">
        <v>642</v>
      </c>
      <c r="U92" t="s">
        <v>643</v>
      </c>
      <c r="V92" t="s">
        <v>644</v>
      </c>
    </row>
    <row r="93" spans="3:23" x14ac:dyDescent="0.2">
      <c r="E93" t="s">
        <v>597</v>
      </c>
      <c r="F93">
        <v>68</v>
      </c>
      <c r="H93">
        <v>73</v>
      </c>
      <c r="I93">
        <f t="shared" si="3"/>
        <v>0.93150684931506844</v>
      </c>
      <c r="J93">
        <v>18</v>
      </c>
      <c r="K93">
        <v>35</v>
      </c>
      <c r="L93">
        <f t="shared" si="5"/>
        <v>0.94444444444444442</v>
      </c>
      <c r="N93" t="s">
        <v>570</v>
      </c>
      <c r="O93" t="s">
        <v>612</v>
      </c>
      <c r="P93" t="s">
        <v>615</v>
      </c>
      <c r="Q93" t="s">
        <v>616</v>
      </c>
      <c r="R93" t="s">
        <v>618</v>
      </c>
      <c r="S93" t="s">
        <v>612</v>
      </c>
      <c r="T93" t="s">
        <v>617</v>
      </c>
      <c r="U93" t="s">
        <v>616</v>
      </c>
      <c r="V93" t="s">
        <v>618</v>
      </c>
    </row>
    <row r="94" spans="3:23" x14ac:dyDescent="0.2">
      <c r="E94" t="s">
        <v>597</v>
      </c>
      <c r="F94">
        <v>61</v>
      </c>
      <c r="H94">
        <v>65</v>
      </c>
      <c r="I94">
        <f t="shared" si="3"/>
        <v>0.93846153846153846</v>
      </c>
      <c r="J94">
        <v>16</v>
      </c>
      <c r="K94">
        <v>30</v>
      </c>
      <c r="L94">
        <f t="shared" si="5"/>
        <v>0.875</v>
      </c>
      <c r="N94" t="s">
        <v>602</v>
      </c>
      <c r="O94">
        <v>5</v>
      </c>
      <c r="P94" s="61">
        <v>0.82944727450544953</v>
      </c>
      <c r="Q94" s="61">
        <v>3.3257646672451562E-2</v>
      </c>
      <c r="R94" s="61" t="s">
        <v>620</v>
      </c>
      <c r="S94" s="62">
        <v>5</v>
      </c>
      <c r="T94" s="61">
        <v>0.99091503267973857</v>
      </c>
      <c r="U94" s="61">
        <v>0.21221815608706315</v>
      </c>
      <c r="V94" t="s">
        <v>627</v>
      </c>
    </row>
    <row r="95" spans="3:23" x14ac:dyDescent="0.2">
      <c r="E95" t="s">
        <v>597</v>
      </c>
      <c r="F95">
        <v>74</v>
      </c>
      <c r="H95">
        <v>65</v>
      </c>
      <c r="I95">
        <f t="shared" si="3"/>
        <v>1.1384615384615384</v>
      </c>
      <c r="J95">
        <v>19</v>
      </c>
      <c r="K95">
        <v>35</v>
      </c>
      <c r="L95">
        <f t="shared" si="5"/>
        <v>0.84210526315789469</v>
      </c>
      <c r="N95" t="s">
        <v>567</v>
      </c>
      <c r="O95">
        <v>26</v>
      </c>
      <c r="P95" s="61">
        <v>0.76291143016173391</v>
      </c>
      <c r="Q95" s="61">
        <v>1.7376393565420201E-2</v>
      </c>
      <c r="R95" s="61" t="s">
        <v>621</v>
      </c>
      <c r="S95" s="62">
        <v>6</v>
      </c>
      <c r="T95" s="61">
        <v>0.9033138401559454</v>
      </c>
      <c r="U95" s="61">
        <v>0.17153021414804395</v>
      </c>
      <c r="V95" t="s">
        <v>628</v>
      </c>
    </row>
    <row r="96" spans="3:23" x14ac:dyDescent="0.2">
      <c r="E96" t="s">
        <v>597</v>
      </c>
      <c r="F96">
        <v>65</v>
      </c>
      <c r="H96">
        <v>60</v>
      </c>
      <c r="I96">
        <f t="shared" si="3"/>
        <v>1.0833333333333333</v>
      </c>
      <c r="J96">
        <v>12</v>
      </c>
      <c r="K96">
        <v>30</v>
      </c>
      <c r="L96">
        <f t="shared" si="5"/>
        <v>1.5</v>
      </c>
      <c r="N96" t="s">
        <v>598</v>
      </c>
      <c r="O96">
        <v>11</v>
      </c>
      <c r="P96" s="61">
        <v>0.78826419398192837</v>
      </c>
      <c r="Q96" s="61">
        <v>2.2850319212492795E-2</v>
      </c>
      <c r="R96" s="61" t="s">
        <v>622</v>
      </c>
      <c r="S96" s="62">
        <v>10</v>
      </c>
      <c r="T96" s="61">
        <v>0.96486013986013996</v>
      </c>
      <c r="U96" s="61">
        <v>0.14545022093681495</v>
      </c>
      <c r="V96" t="s">
        <v>629</v>
      </c>
    </row>
    <row r="97" spans="5:22" x14ac:dyDescent="0.2">
      <c r="E97" t="s">
        <v>597</v>
      </c>
      <c r="F97">
        <v>72</v>
      </c>
      <c r="H97">
        <v>65</v>
      </c>
      <c r="I97">
        <f t="shared" si="3"/>
        <v>1.1076923076923078</v>
      </c>
      <c r="J97">
        <v>19</v>
      </c>
      <c r="K97">
        <v>36</v>
      </c>
      <c r="L97">
        <f t="shared" si="5"/>
        <v>0.89473684210526316</v>
      </c>
      <c r="N97" t="s">
        <v>601</v>
      </c>
      <c r="O97">
        <v>3</v>
      </c>
      <c r="P97" s="61">
        <v>0.79784933873713326</v>
      </c>
      <c r="Q97" s="61">
        <v>1.3955973329733588E-2</v>
      </c>
      <c r="R97" s="61" t="s">
        <v>619</v>
      </c>
      <c r="S97" s="62">
        <v>3</v>
      </c>
      <c r="T97" s="61">
        <v>0.85297619047619044</v>
      </c>
      <c r="U97" s="61">
        <v>0.1973705767276949</v>
      </c>
      <c r="V97" t="s">
        <v>630</v>
      </c>
    </row>
    <row r="98" spans="5:22" x14ac:dyDescent="0.2">
      <c r="E98" t="s">
        <v>598</v>
      </c>
      <c r="F98">
        <v>45</v>
      </c>
      <c r="H98">
        <v>58</v>
      </c>
      <c r="I98">
        <f t="shared" si="3"/>
        <v>0.77586206896551724</v>
      </c>
      <c r="J98">
        <v>12</v>
      </c>
      <c r="K98">
        <v>25</v>
      </c>
      <c r="L98">
        <f t="shared" si="5"/>
        <v>1.0833333333333333</v>
      </c>
      <c r="N98" t="s">
        <v>603</v>
      </c>
      <c r="O98">
        <v>2</v>
      </c>
      <c r="P98" s="61">
        <v>0.80098039215686279</v>
      </c>
      <c r="Q98" s="61" t="s">
        <v>636</v>
      </c>
      <c r="R98" s="61"/>
      <c r="S98" s="62">
        <v>2</v>
      </c>
      <c r="T98" s="61">
        <v>0.95378151260504196</v>
      </c>
      <c r="U98" s="61" t="s">
        <v>636</v>
      </c>
      <c r="V98" s="61"/>
    </row>
    <row r="99" spans="5:22" x14ac:dyDescent="0.2">
      <c r="E99" t="s">
        <v>598</v>
      </c>
      <c r="F99">
        <v>43</v>
      </c>
      <c r="H99">
        <v>55</v>
      </c>
      <c r="I99">
        <f t="shared" si="3"/>
        <v>0.78181818181818186</v>
      </c>
      <c r="J99">
        <v>12</v>
      </c>
      <c r="K99">
        <v>24</v>
      </c>
      <c r="L99">
        <f t="shared" si="5"/>
        <v>1</v>
      </c>
      <c r="N99" t="s">
        <v>559</v>
      </c>
      <c r="O99">
        <v>36</v>
      </c>
      <c r="P99" s="61">
        <v>0.82308805603590085</v>
      </c>
      <c r="Q99" s="61">
        <v>4.8686480454333561E-2</v>
      </c>
      <c r="R99" s="61" t="s">
        <v>623</v>
      </c>
      <c r="S99" s="62">
        <v>8</v>
      </c>
      <c r="T99" s="61">
        <v>1.2536019536019536</v>
      </c>
      <c r="U99" s="61">
        <v>0.16268383104541001</v>
      </c>
      <c r="V99" t="s">
        <v>631</v>
      </c>
    </row>
    <row r="100" spans="5:22" x14ac:dyDescent="0.2">
      <c r="E100" t="s">
        <v>598</v>
      </c>
      <c r="F100">
        <v>45</v>
      </c>
      <c r="H100">
        <v>55</v>
      </c>
      <c r="I100">
        <f t="shared" si="3"/>
        <v>0.81818181818181823</v>
      </c>
      <c r="J100">
        <v>11</v>
      </c>
      <c r="K100">
        <v>23</v>
      </c>
      <c r="L100">
        <f t="shared" si="5"/>
        <v>1.0909090909090908</v>
      </c>
      <c r="N100" t="s">
        <v>583</v>
      </c>
      <c r="O100">
        <v>1</v>
      </c>
      <c r="P100" s="61">
        <v>0.72727272727272729</v>
      </c>
      <c r="Q100" s="61" t="s">
        <v>636</v>
      </c>
      <c r="R100" s="61"/>
      <c r="S100" s="62">
        <v>1</v>
      </c>
      <c r="T100" s="61">
        <v>1.0555555555555556</v>
      </c>
      <c r="U100" s="61" t="s">
        <v>636</v>
      </c>
    </row>
    <row r="101" spans="5:22" x14ac:dyDescent="0.2">
      <c r="E101" t="s">
        <v>598</v>
      </c>
      <c r="F101">
        <v>42</v>
      </c>
      <c r="H101">
        <v>56</v>
      </c>
      <c r="I101">
        <f t="shared" si="3"/>
        <v>0.75</v>
      </c>
      <c r="J101">
        <v>13</v>
      </c>
      <c r="K101">
        <v>25</v>
      </c>
      <c r="L101">
        <f t="shared" si="5"/>
        <v>0.92307692307692313</v>
      </c>
      <c r="N101" t="s">
        <v>586</v>
      </c>
      <c r="O101">
        <v>1</v>
      </c>
      <c r="P101" s="61">
        <v>0.98333333333333328</v>
      </c>
      <c r="Q101" s="61" t="s">
        <v>636</v>
      </c>
      <c r="R101" s="61"/>
      <c r="S101" s="62">
        <v>1</v>
      </c>
      <c r="T101" s="61">
        <v>0.8666666666666667</v>
      </c>
      <c r="U101" s="61" t="s">
        <v>636</v>
      </c>
    </row>
    <row r="102" spans="5:22" x14ac:dyDescent="0.2">
      <c r="E102" t="s">
        <v>598</v>
      </c>
      <c r="F102">
        <v>44</v>
      </c>
      <c r="H102">
        <v>57</v>
      </c>
      <c r="I102">
        <f t="shared" si="3"/>
        <v>0.77192982456140347</v>
      </c>
      <c r="J102">
        <v>12</v>
      </c>
      <c r="K102">
        <v>24</v>
      </c>
      <c r="L102">
        <f t="shared" si="5"/>
        <v>1</v>
      </c>
      <c r="N102" t="s">
        <v>587</v>
      </c>
      <c r="O102">
        <v>1</v>
      </c>
      <c r="P102" s="61">
        <v>1.0185185185185186</v>
      </c>
      <c r="Q102" s="61" t="s">
        <v>636</v>
      </c>
      <c r="R102" s="61"/>
      <c r="S102" s="62">
        <v>1</v>
      </c>
      <c r="T102" s="61">
        <v>1.0833333333333333</v>
      </c>
      <c r="U102" s="61" t="s">
        <v>636</v>
      </c>
    </row>
    <row r="103" spans="5:22" x14ac:dyDescent="0.2">
      <c r="E103" t="s">
        <v>598</v>
      </c>
      <c r="F103">
        <v>45</v>
      </c>
      <c r="H103">
        <v>58</v>
      </c>
      <c r="I103">
        <f t="shared" si="3"/>
        <v>0.77586206896551724</v>
      </c>
      <c r="J103">
        <v>12</v>
      </c>
      <c r="K103">
        <v>24</v>
      </c>
      <c r="L103">
        <f t="shared" si="5"/>
        <v>1</v>
      </c>
      <c r="N103" t="s">
        <v>578</v>
      </c>
      <c r="O103">
        <v>6</v>
      </c>
      <c r="P103" s="61">
        <v>0.81337099811676072</v>
      </c>
      <c r="Q103" s="61">
        <v>1.2472532516345442E-2</v>
      </c>
      <c r="R103" s="61" t="s">
        <v>624</v>
      </c>
      <c r="S103" s="62">
        <v>5</v>
      </c>
      <c r="T103" s="61">
        <v>0.85252747252747252</v>
      </c>
      <c r="U103" s="61">
        <v>0.14980108642900622</v>
      </c>
      <c r="V103" t="s">
        <v>632</v>
      </c>
    </row>
    <row r="104" spans="5:22" x14ac:dyDescent="0.2">
      <c r="E104" t="s">
        <v>598</v>
      </c>
      <c r="F104">
        <v>44</v>
      </c>
      <c r="H104">
        <v>53</v>
      </c>
      <c r="I104">
        <f t="shared" si="3"/>
        <v>0.83018867924528306</v>
      </c>
      <c r="J104">
        <v>13</v>
      </c>
      <c r="K104">
        <v>22</v>
      </c>
      <c r="L104">
        <f t="shared" si="5"/>
        <v>0.69230769230769229</v>
      </c>
      <c r="N104" t="s">
        <v>599</v>
      </c>
      <c r="O104">
        <v>10</v>
      </c>
      <c r="P104" s="61">
        <v>0.77378893709244301</v>
      </c>
      <c r="Q104" s="61">
        <v>1.5082074435058941E-2</v>
      </c>
      <c r="R104" s="61" t="s">
        <v>625</v>
      </c>
      <c r="S104" s="62">
        <v>9</v>
      </c>
      <c r="T104" s="61">
        <v>1.2441580478345184</v>
      </c>
      <c r="U104" s="61">
        <v>0.19389027343397486</v>
      </c>
      <c r="V104" t="s">
        <v>633</v>
      </c>
    </row>
    <row r="105" spans="5:22" x14ac:dyDescent="0.2">
      <c r="E105" t="s">
        <v>598</v>
      </c>
      <c r="F105">
        <v>44</v>
      </c>
      <c r="H105">
        <v>56</v>
      </c>
      <c r="I105">
        <f t="shared" si="3"/>
        <v>0.7857142857142857</v>
      </c>
      <c r="J105">
        <v>13</v>
      </c>
      <c r="K105">
        <v>25</v>
      </c>
      <c r="L105">
        <f t="shared" si="5"/>
        <v>0.92307692307692313</v>
      </c>
      <c r="N105" t="s">
        <v>597</v>
      </c>
      <c r="O105">
        <v>6</v>
      </c>
      <c r="P105" s="61">
        <v>1.0168106696613355</v>
      </c>
      <c r="Q105" s="61">
        <v>0.10413133155655739</v>
      </c>
      <c r="R105" s="61" t="s">
        <v>637</v>
      </c>
      <c r="S105" s="62">
        <v>6</v>
      </c>
      <c r="T105" s="61">
        <v>1.0350221172589593</v>
      </c>
      <c r="U105" s="61">
        <v>0.25338975786521023</v>
      </c>
      <c r="V105" t="s">
        <v>634</v>
      </c>
    </row>
    <row r="106" spans="5:22" x14ac:dyDescent="0.2">
      <c r="E106" t="s">
        <v>598</v>
      </c>
      <c r="F106">
        <v>42</v>
      </c>
      <c r="H106">
        <v>54</v>
      </c>
      <c r="I106">
        <f t="shared" si="3"/>
        <v>0.77777777777777779</v>
      </c>
      <c r="J106">
        <v>12</v>
      </c>
      <c r="K106">
        <v>26</v>
      </c>
      <c r="L106">
        <f t="shared" si="5"/>
        <v>1.1666666666666667</v>
      </c>
      <c r="N106" t="s">
        <v>600</v>
      </c>
      <c r="O106">
        <v>10</v>
      </c>
      <c r="P106" s="61">
        <v>0.8130520634463213</v>
      </c>
      <c r="Q106" s="61">
        <v>3.1427273438327442E-2</v>
      </c>
      <c r="R106" s="61" t="s">
        <v>626</v>
      </c>
      <c r="S106" s="62">
        <v>10</v>
      </c>
      <c r="T106" s="61">
        <v>1.2061721611721612</v>
      </c>
      <c r="U106" s="61">
        <v>0.16957553258979899</v>
      </c>
      <c r="V106" t="s">
        <v>635</v>
      </c>
    </row>
    <row r="107" spans="5:22" x14ac:dyDescent="0.2">
      <c r="E107" t="s">
        <v>598</v>
      </c>
      <c r="F107">
        <v>45</v>
      </c>
      <c r="H107">
        <v>56</v>
      </c>
      <c r="I107">
        <f t="shared" si="3"/>
        <v>0.8035714285714286</v>
      </c>
      <c r="J107">
        <v>13</v>
      </c>
      <c r="K107">
        <v>23</v>
      </c>
      <c r="L107">
        <f t="shared" si="5"/>
        <v>0.76923076923076927</v>
      </c>
    </row>
    <row r="108" spans="5:22" x14ac:dyDescent="0.2">
      <c r="E108" t="s">
        <v>598</v>
      </c>
      <c r="F108">
        <v>44</v>
      </c>
      <c r="H108">
        <v>55</v>
      </c>
      <c r="I108">
        <f t="shared" si="3"/>
        <v>0.8</v>
      </c>
    </row>
    <row r="109" spans="5:22" x14ac:dyDescent="0.2">
      <c r="E109" t="s">
        <v>599</v>
      </c>
      <c r="F109">
        <v>55</v>
      </c>
      <c r="H109">
        <v>70</v>
      </c>
      <c r="I109">
        <f t="shared" si="3"/>
        <v>0.7857142857142857</v>
      </c>
      <c r="J109">
        <v>17</v>
      </c>
      <c r="K109">
        <v>35</v>
      </c>
      <c r="L109">
        <f t="shared" si="5"/>
        <v>1.0588235294117647</v>
      </c>
    </row>
    <row r="110" spans="5:22" ht="16" thickBot="1" x14ac:dyDescent="0.25">
      <c r="E110" t="s">
        <v>599</v>
      </c>
      <c r="F110">
        <v>55</v>
      </c>
      <c r="H110">
        <v>73</v>
      </c>
      <c r="I110">
        <f t="shared" si="3"/>
        <v>0.75342465753424659</v>
      </c>
      <c r="J110">
        <v>16</v>
      </c>
      <c r="K110">
        <v>35</v>
      </c>
      <c r="L110">
        <f t="shared" si="5"/>
        <v>1.1875</v>
      </c>
      <c r="N110" s="80"/>
      <c r="O110" s="87" t="s">
        <v>613</v>
      </c>
      <c r="P110" s="88"/>
      <c r="Q110" s="88"/>
      <c r="R110" s="89"/>
      <c r="S110" s="87" t="s">
        <v>614</v>
      </c>
      <c r="T110" s="88"/>
      <c r="U110" s="88"/>
      <c r="V110" s="88"/>
    </row>
    <row r="111" spans="5:22" ht="16" thickTop="1" x14ac:dyDescent="0.2">
      <c r="E111" t="s">
        <v>599</v>
      </c>
      <c r="F111">
        <v>52</v>
      </c>
      <c r="H111">
        <v>68</v>
      </c>
      <c r="I111">
        <f t="shared" si="3"/>
        <v>0.76470588235294112</v>
      </c>
      <c r="J111">
        <v>13</v>
      </c>
      <c r="K111">
        <v>31</v>
      </c>
      <c r="L111">
        <f t="shared" si="5"/>
        <v>1.3846153846153846</v>
      </c>
      <c r="N111" s="63" t="s">
        <v>647</v>
      </c>
      <c r="O111" s="66" t="s">
        <v>612</v>
      </c>
      <c r="P111" s="66" t="s">
        <v>646</v>
      </c>
      <c r="Q111" s="66" t="s">
        <v>616</v>
      </c>
      <c r="R111" s="66" t="s">
        <v>618</v>
      </c>
      <c r="S111" s="66" t="s">
        <v>612</v>
      </c>
      <c r="T111" s="66" t="s">
        <v>645</v>
      </c>
      <c r="U111" s="66" t="s">
        <v>616</v>
      </c>
      <c r="V111" s="69" t="s">
        <v>618</v>
      </c>
    </row>
    <row r="112" spans="5:22" x14ac:dyDescent="0.2">
      <c r="E112" t="s">
        <v>599</v>
      </c>
      <c r="F112">
        <v>53</v>
      </c>
      <c r="H112">
        <v>69</v>
      </c>
      <c r="I112">
        <f t="shared" si="3"/>
        <v>0.76811594202898548</v>
      </c>
      <c r="J112">
        <v>13</v>
      </c>
      <c r="K112">
        <v>29</v>
      </c>
      <c r="L112">
        <f t="shared" si="5"/>
        <v>1.2307692307692308</v>
      </c>
      <c r="N112" s="64" t="s">
        <v>602</v>
      </c>
      <c r="O112" s="67">
        <v>5</v>
      </c>
      <c r="P112" s="72">
        <v>0.82944727450544953</v>
      </c>
      <c r="Q112" s="72">
        <v>3.3257646672451562E-2</v>
      </c>
      <c r="R112" s="72" t="s">
        <v>620</v>
      </c>
      <c r="S112" s="73">
        <v>5</v>
      </c>
      <c r="T112" s="72">
        <v>0.99091503267973857</v>
      </c>
      <c r="U112" s="72">
        <v>0.21221815608706315</v>
      </c>
      <c r="V112" s="70" t="s">
        <v>627</v>
      </c>
    </row>
    <row r="113" spans="5:22" x14ac:dyDescent="0.2">
      <c r="E113" t="s">
        <v>599</v>
      </c>
      <c r="F113">
        <v>52</v>
      </c>
      <c r="H113">
        <v>68</v>
      </c>
      <c r="I113">
        <f t="shared" si="3"/>
        <v>0.76470588235294112</v>
      </c>
      <c r="J113">
        <v>12</v>
      </c>
      <c r="K113">
        <v>32</v>
      </c>
      <c r="L113">
        <f t="shared" si="5"/>
        <v>1.6666666666666667</v>
      </c>
      <c r="N113" s="63" t="s">
        <v>567</v>
      </c>
      <c r="O113" s="66">
        <v>26</v>
      </c>
      <c r="P113" s="74">
        <v>0.76291143016173391</v>
      </c>
      <c r="Q113" s="74">
        <v>1.7376393565420201E-2</v>
      </c>
      <c r="R113" s="74" t="s">
        <v>621</v>
      </c>
      <c r="S113" s="75">
        <v>6</v>
      </c>
      <c r="T113" s="74">
        <v>0.9033138401559454</v>
      </c>
      <c r="U113" s="74">
        <v>0.17153021414804395</v>
      </c>
      <c r="V113" s="69" t="s">
        <v>628</v>
      </c>
    </row>
    <row r="114" spans="5:22" x14ac:dyDescent="0.2">
      <c r="E114" t="s">
        <v>599</v>
      </c>
      <c r="F114">
        <v>49</v>
      </c>
      <c r="H114">
        <v>63</v>
      </c>
      <c r="I114">
        <f t="shared" si="3"/>
        <v>0.77777777777777779</v>
      </c>
      <c r="J114">
        <v>15</v>
      </c>
      <c r="K114">
        <v>31</v>
      </c>
      <c r="L114">
        <f t="shared" si="5"/>
        <v>1.0666666666666667</v>
      </c>
      <c r="N114" s="64" t="s">
        <v>598</v>
      </c>
      <c r="O114" s="67">
        <v>11</v>
      </c>
      <c r="P114" s="72">
        <v>0.78826419398192837</v>
      </c>
      <c r="Q114" s="72">
        <v>2.2850319212492795E-2</v>
      </c>
      <c r="R114" s="72" t="s">
        <v>622</v>
      </c>
      <c r="S114" s="73">
        <v>10</v>
      </c>
      <c r="T114" s="72">
        <v>0.96486013986013996</v>
      </c>
      <c r="U114" s="72">
        <v>0.14545022093681495</v>
      </c>
      <c r="V114" s="70" t="s">
        <v>629</v>
      </c>
    </row>
    <row r="115" spans="5:22" x14ac:dyDescent="0.2">
      <c r="E115" t="s">
        <v>599</v>
      </c>
      <c r="F115">
        <v>50</v>
      </c>
      <c r="H115">
        <v>65</v>
      </c>
      <c r="I115">
        <f t="shared" si="3"/>
        <v>0.76923076923076927</v>
      </c>
      <c r="J115">
        <v>15</v>
      </c>
      <c r="K115">
        <v>31</v>
      </c>
      <c r="L115">
        <f t="shared" si="5"/>
        <v>1.0666666666666667</v>
      </c>
      <c r="N115" s="63" t="s">
        <v>601</v>
      </c>
      <c r="O115" s="66">
        <v>3</v>
      </c>
      <c r="P115" s="74">
        <v>0.79784933873713326</v>
      </c>
      <c r="Q115" s="74">
        <v>1.3955973329733588E-2</v>
      </c>
      <c r="R115" s="74" t="s">
        <v>619</v>
      </c>
      <c r="S115" s="75">
        <v>3</v>
      </c>
      <c r="T115" s="74">
        <v>0.85297619047619044</v>
      </c>
      <c r="U115" s="74">
        <v>0.1973705767276949</v>
      </c>
      <c r="V115" s="69" t="s">
        <v>630</v>
      </c>
    </row>
    <row r="116" spans="5:22" x14ac:dyDescent="0.2">
      <c r="E116" t="s">
        <v>599</v>
      </c>
      <c r="F116">
        <v>50</v>
      </c>
      <c r="H116">
        <v>63</v>
      </c>
      <c r="I116">
        <f t="shared" si="3"/>
        <v>0.79365079365079361</v>
      </c>
      <c r="J116">
        <v>14</v>
      </c>
      <c r="K116">
        <v>32</v>
      </c>
      <c r="L116">
        <f t="shared" si="5"/>
        <v>1.2857142857142858</v>
      </c>
      <c r="N116" s="64" t="s">
        <v>603</v>
      </c>
      <c r="O116" s="67">
        <v>2</v>
      </c>
      <c r="P116" s="72">
        <v>0.80098039215686279</v>
      </c>
      <c r="Q116" s="72" t="s">
        <v>636</v>
      </c>
      <c r="R116" s="72"/>
      <c r="S116" s="73">
        <v>2</v>
      </c>
      <c r="T116" s="72">
        <v>0.95378151260504196</v>
      </c>
      <c r="U116" s="72" t="s">
        <v>636</v>
      </c>
      <c r="V116" s="76"/>
    </row>
    <row r="117" spans="5:22" x14ac:dyDescent="0.2">
      <c r="E117" t="s">
        <v>599</v>
      </c>
      <c r="F117">
        <v>54</v>
      </c>
      <c r="H117">
        <v>71</v>
      </c>
      <c r="I117">
        <f t="shared" si="3"/>
        <v>0.76056338028169013</v>
      </c>
      <c r="J117">
        <v>12</v>
      </c>
      <c r="K117">
        <v>27</v>
      </c>
      <c r="L117">
        <f t="shared" si="5"/>
        <v>1.25</v>
      </c>
      <c r="N117" s="63" t="s">
        <v>559</v>
      </c>
      <c r="O117" s="66">
        <v>36</v>
      </c>
      <c r="P117" s="74">
        <v>0.82308805603590085</v>
      </c>
      <c r="Q117" s="74">
        <v>4.8686480454333561E-2</v>
      </c>
      <c r="R117" s="74" t="s">
        <v>623</v>
      </c>
      <c r="S117" s="75">
        <v>8</v>
      </c>
      <c r="T117" s="74">
        <v>1.2536019536019536</v>
      </c>
      <c r="U117" s="74">
        <v>0.16268383104541001</v>
      </c>
      <c r="V117" s="69" t="s">
        <v>631</v>
      </c>
    </row>
    <row r="118" spans="5:22" x14ac:dyDescent="0.2">
      <c r="E118" t="s">
        <v>599</v>
      </c>
      <c r="F118">
        <v>52</v>
      </c>
      <c r="H118">
        <v>65</v>
      </c>
      <c r="I118">
        <f t="shared" si="3"/>
        <v>0.8</v>
      </c>
      <c r="N118" s="64" t="s">
        <v>583</v>
      </c>
      <c r="O118" s="67">
        <v>1</v>
      </c>
      <c r="P118" s="72">
        <v>0.72727272727272729</v>
      </c>
      <c r="Q118" s="72" t="s">
        <v>636</v>
      </c>
      <c r="R118" s="72"/>
      <c r="S118" s="73">
        <v>1</v>
      </c>
      <c r="T118" s="72">
        <v>1.0555555555555556</v>
      </c>
      <c r="U118" s="72" t="s">
        <v>636</v>
      </c>
      <c r="V118" s="70"/>
    </row>
    <row r="119" spans="5:22" x14ac:dyDescent="0.2">
      <c r="E119" t="s">
        <v>600</v>
      </c>
      <c r="F119">
        <v>57</v>
      </c>
      <c r="H119">
        <v>70</v>
      </c>
      <c r="I119">
        <f t="shared" si="3"/>
        <v>0.81428571428571428</v>
      </c>
      <c r="J119">
        <v>12</v>
      </c>
      <c r="K119">
        <v>31</v>
      </c>
      <c r="L119">
        <f t="shared" si="5"/>
        <v>1.5833333333333333</v>
      </c>
      <c r="N119" s="63" t="s">
        <v>586</v>
      </c>
      <c r="O119" s="66">
        <v>1</v>
      </c>
      <c r="P119" s="74">
        <v>0.98333333333333328</v>
      </c>
      <c r="Q119" s="74" t="s">
        <v>636</v>
      </c>
      <c r="R119" s="74"/>
      <c r="S119" s="75">
        <v>1</v>
      </c>
      <c r="T119" s="74">
        <v>0.8666666666666667</v>
      </c>
      <c r="U119" s="74" t="s">
        <v>636</v>
      </c>
      <c r="V119" s="69"/>
    </row>
    <row r="120" spans="5:22" x14ac:dyDescent="0.2">
      <c r="E120" t="s">
        <v>600</v>
      </c>
      <c r="F120">
        <v>53</v>
      </c>
      <c r="H120">
        <v>69</v>
      </c>
      <c r="I120">
        <f t="shared" si="3"/>
        <v>0.76811594202898548</v>
      </c>
      <c r="J120">
        <v>14</v>
      </c>
      <c r="K120">
        <v>30</v>
      </c>
      <c r="L120">
        <f t="shared" si="5"/>
        <v>1.1428571428571428</v>
      </c>
      <c r="N120" s="64" t="s">
        <v>587</v>
      </c>
      <c r="O120" s="67">
        <v>1</v>
      </c>
      <c r="P120" s="72">
        <v>1.0185185185185186</v>
      </c>
      <c r="Q120" s="72" t="s">
        <v>636</v>
      </c>
      <c r="R120" s="72"/>
      <c r="S120" s="73">
        <v>1</v>
      </c>
      <c r="T120" s="72">
        <v>1.0833333333333333</v>
      </c>
      <c r="U120" s="72" t="s">
        <v>636</v>
      </c>
      <c r="V120" s="70"/>
    </row>
    <row r="121" spans="5:22" x14ac:dyDescent="0.2">
      <c r="E121" t="s">
        <v>600</v>
      </c>
      <c r="F121">
        <v>59</v>
      </c>
      <c r="H121">
        <v>69</v>
      </c>
      <c r="I121">
        <f t="shared" si="3"/>
        <v>0.85507246376811596</v>
      </c>
      <c r="J121">
        <v>14</v>
      </c>
      <c r="K121">
        <v>32</v>
      </c>
      <c r="L121">
        <f t="shared" si="5"/>
        <v>1.2857142857142858</v>
      </c>
      <c r="N121" s="63" t="s">
        <v>578</v>
      </c>
      <c r="O121" s="66">
        <v>6</v>
      </c>
      <c r="P121" s="74">
        <v>0.81337099811676072</v>
      </c>
      <c r="Q121" s="74">
        <v>1.2472532516345442E-2</v>
      </c>
      <c r="R121" s="74" t="s">
        <v>624</v>
      </c>
      <c r="S121" s="75">
        <v>5</v>
      </c>
      <c r="T121" s="74">
        <v>0.85252747252747252</v>
      </c>
      <c r="U121" s="74">
        <v>0.14980108642900622</v>
      </c>
      <c r="V121" s="69" t="s">
        <v>632</v>
      </c>
    </row>
    <row r="122" spans="5:22" x14ac:dyDescent="0.2">
      <c r="E122" t="s">
        <v>600</v>
      </c>
      <c r="F122">
        <v>57</v>
      </c>
      <c r="H122">
        <v>70</v>
      </c>
      <c r="I122">
        <f t="shared" si="3"/>
        <v>0.81428571428571428</v>
      </c>
      <c r="J122">
        <v>15</v>
      </c>
      <c r="K122">
        <v>32</v>
      </c>
      <c r="L122">
        <f t="shared" si="5"/>
        <v>1.1333333333333333</v>
      </c>
      <c r="N122" s="64" t="s">
        <v>599</v>
      </c>
      <c r="O122" s="67">
        <v>10</v>
      </c>
      <c r="P122" s="72">
        <v>0.77378893709244301</v>
      </c>
      <c r="Q122" s="72">
        <v>1.5082074435058941E-2</v>
      </c>
      <c r="R122" s="72" t="s">
        <v>625</v>
      </c>
      <c r="S122" s="73">
        <v>9</v>
      </c>
      <c r="T122" s="72">
        <v>1.2441580478345184</v>
      </c>
      <c r="U122" s="72">
        <v>0.19389027343397486</v>
      </c>
      <c r="V122" s="70" t="s">
        <v>633</v>
      </c>
    </row>
    <row r="123" spans="5:22" x14ac:dyDescent="0.2">
      <c r="E123" t="s">
        <v>600</v>
      </c>
      <c r="F123">
        <v>60</v>
      </c>
      <c r="H123">
        <v>71</v>
      </c>
      <c r="I123">
        <f t="shared" si="3"/>
        <v>0.84507042253521125</v>
      </c>
      <c r="J123">
        <v>15</v>
      </c>
      <c r="K123">
        <v>34</v>
      </c>
      <c r="L123">
        <f t="shared" si="5"/>
        <v>1.2666666666666666</v>
      </c>
      <c r="N123" s="63" t="s">
        <v>597</v>
      </c>
      <c r="O123" s="66">
        <v>6</v>
      </c>
      <c r="P123" s="74">
        <v>1.0168106696613355</v>
      </c>
      <c r="Q123" s="74">
        <v>0.10413133155655739</v>
      </c>
      <c r="R123" s="74" t="s">
        <v>648</v>
      </c>
      <c r="S123" s="75">
        <v>6</v>
      </c>
      <c r="T123" s="74">
        <v>1.0350221172589593</v>
      </c>
      <c r="U123" s="74">
        <v>0.25338975786521023</v>
      </c>
      <c r="V123" s="69" t="s">
        <v>634</v>
      </c>
    </row>
    <row r="124" spans="5:22" x14ac:dyDescent="0.2">
      <c r="E124" t="s">
        <v>600</v>
      </c>
      <c r="F124">
        <v>59</v>
      </c>
      <c r="H124">
        <v>70</v>
      </c>
      <c r="I124">
        <f t="shared" si="3"/>
        <v>0.84285714285714286</v>
      </c>
      <c r="J124">
        <v>15</v>
      </c>
      <c r="K124">
        <v>30</v>
      </c>
      <c r="L124">
        <f t="shared" si="5"/>
        <v>1</v>
      </c>
      <c r="N124" s="65" t="s">
        <v>600</v>
      </c>
      <c r="O124" s="68">
        <v>10</v>
      </c>
      <c r="P124" s="77">
        <v>0.8130520634463213</v>
      </c>
      <c r="Q124" s="77">
        <v>3.1427273438327442E-2</v>
      </c>
      <c r="R124" s="77" t="s">
        <v>626</v>
      </c>
      <c r="S124" s="78">
        <v>10</v>
      </c>
      <c r="T124" s="77">
        <v>1.2061721611721612</v>
      </c>
      <c r="U124" s="77">
        <v>0.16957553258979899</v>
      </c>
      <c r="V124" s="71" t="s">
        <v>635</v>
      </c>
    </row>
    <row r="125" spans="5:22" x14ac:dyDescent="0.2">
      <c r="E125" t="s">
        <v>600</v>
      </c>
      <c r="F125">
        <v>55</v>
      </c>
      <c r="H125">
        <v>68</v>
      </c>
      <c r="I125">
        <f t="shared" si="3"/>
        <v>0.80882352941176472</v>
      </c>
      <c r="J125">
        <v>13</v>
      </c>
      <c r="K125">
        <v>29</v>
      </c>
      <c r="L125">
        <f t="shared" si="5"/>
        <v>1.2307692307692308</v>
      </c>
    </row>
    <row r="126" spans="5:22" x14ac:dyDescent="0.2">
      <c r="E126" t="s">
        <v>600</v>
      </c>
      <c r="F126">
        <v>58</v>
      </c>
      <c r="H126">
        <v>70</v>
      </c>
      <c r="I126">
        <f t="shared" si="3"/>
        <v>0.82857142857142863</v>
      </c>
      <c r="J126">
        <v>14</v>
      </c>
      <c r="K126">
        <v>32</v>
      </c>
      <c r="L126">
        <f t="shared" si="5"/>
        <v>1.2857142857142858</v>
      </c>
    </row>
    <row r="127" spans="5:22" x14ac:dyDescent="0.2">
      <c r="E127" t="s">
        <v>600</v>
      </c>
      <c r="F127">
        <v>56</v>
      </c>
      <c r="H127">
        <v>71</v>
      </c>
      <c r="I127">
        <f t="shared" si="3"/>
        <v>0.78873239436619713</v>
      </c>
      <c r="J127">
        <v>15</v>
      </c>
      <c r="K127">
        <v>32</v>
      </c>
      <c r="L127">
        <f t="shared" si="5"/>
        <v>1.1333333333333333</v>
      </c>
    </row>
    <row r="128" spans="5:22" x14ac:dyDescent="0.2">
      <c r="E128" t="s">
        <v>600</v>
      </c>
      <c r="F128">
        <v>52</v>
      </c>
      <c r="H128">
        <v>68</v>
      </c>
      <c r="I128">
        <f t="shared" si="3"/>
        <v>0.76470588235294112</v>
      </c>
      <c r="J128">
        <v>16</v>
      </c>
      <c r="K128">
        <v>32</v>
      </c>
      <c r="L128">
        <f t="shared" si="5"/>
        <v>1</v>
      </c>
    </row>
    <row r="129" spans="5:13" x14ac:dyDescent="0.2">
      <c r="E129" t="s">
        <v>601</v>
      </c>
      <c r="F129">
        <v>46</v>
      </c>
      <c r="H129">
        <v>58</v>
      </c>
      <c r="I129">
        <f t="shared" si="3"/>
        <v>0.7931034482758621</v>
      </c>
      <c r="J129">
        <v>15</v>
      </c>
      <c r="K129">
        <v>27</v>
      </c>
      <c r="L129">
        <f t="shared" si="5"/>
        <v>0.8</v>
      </c>
    </row>
    <row r="130" spans="5:13" x14ac:dyDescent="0.2">
      <c r="E130" t="s">
        <v>601</v>
      </c>
      <c r="F130">
        <v>48</v>
      </c>
      <c r="H130">
        <v>61</v>
      </c>
      <c r="I130">
        <f t="shared" si="3"/>
        <v>0.78688524590163933</v>
      </c>
      <c r="J130">
        <v>16</v>
      </c>
      <c r="K130">
        <v>27</v>
      </c>
      <c r="L130">
        <f t="shared" si="5"/>
        <v>0.6875</v>
      </c>
    </row>
    <row r="131" spans="5:13" x14ac:dyDescent="0.2">
      <c r="E131" t="s">
        <v>601</v>
      </c>
      <c r="F131">
        <v>48</v>
      </c>
      <c r="H131">
        <v>59</v>
      </c>
      <c r="I131">
        <f t="shared" si="3"/>
        <v>0.81355932203389836</v>
      </c>
      <c r="J131">
        <v>14</v>
      </c>
      <c r="K131">
        <v>29</v>
      </c>
      <c r="L131">
        <f t="shared" si="5"/>
        <v>1.0714285714285714</v>
      </c>
    </row>
    <row r="132" spans="5:13" x14ac:dyDescent="0.2">
      <c r="E132" t="s">
        <v>602</v>
      </c>
      <c r="F132">
        <v>62</v>
      </c>
      <c r="H132">
        <v>78</v>
      </c>
      <c r="I132">
        <f t="shared" si="3"/>
        <v>0.79487179487179482</v>
      </c>
      <c r="J132">
        <v>20</v>
      </c>
      <c r="K132">
        <v>37</v>
      </c>
      <c r="L132">
        <f t="shared" si="5"/>
        <v>0.85</v>
      </c>
    </row>
    <row r="133" spans="5:13" x14ac:dyDescent="0.2">
      <c r="E133" t="s">
        <v>602</v>
      </c>
      <c r="F133">
        <v>60</v>
      </c>
      <c r="H133">
        <v>69</v>
      </c>
      <c r="I133">
        <f t="shared" si="3"/>
        <v>0.86956521739130432</v>
      </c>
      <c r="J133">
        <v>17</v>
      </c>
      <c r="K133">
        <v>35</v>
      </c>
      <c r="L133">
        <f t="shared" si="5"/>
        <v>1.0588235294117647</v>
      </c>
    </row>
    <row r="134" spans="5:13" x14ac:dyDescent="0.2">
      <c r="E134" t="s">
        <v>602</v>
      </c>
      <c r="F134">
        <v>60</v>
      </c>
      <c r="H134">
        <v>71</v>
      </c>
      <c r="I134">
        <f t="shared" si="3"/>
        <v>0.84507042253521125</v>
      </c>
      <c r="J134">
        <v>15</v>
      </c>
      <c r="K134">
        <v>35</v>
      </c>
      <c r="L134">
        <f t="shared" si="5"/>
        <v>1.3333333333333333</v>
      </c>
    </row>
    <row r="135" spans="5:13" x14ac:dyDescent="0.2">
      <c r="E135" t="s">
        <v>602</v>
      </c>
      <c r="F135">
        <v>62</v>
      </c>
      <c r="H135">
        <v>78</v>
      </c>
      <c r="I135">
        <f t="shared" si="3"/>
        <v>0.79487179487179482</v>
      </c>
      <c r="J135">
        <v>18</v>
      </c>
      <c r="K135">
        <v>34</v>
      </c>
      <c r="L135">
        <f t="shared" si="5"/>
        <v>0.88888888888888884</v>
      </c>
    </row>
    <row r="136" spans="5:13" x14ac:dyDescent="0.2">
      <c r="E136" t="s">
        <v>602</v>
      </c>
      <c r="F136">
        <v>59</v>
      </c>
      <c r="H136">
        <v>70</v>
      </c>
      <c r="I136">
        <f t="shared" si="3"/>
        <v>0.84285714285714286</v>
      </c>
      <c r="J136">
        <v>17</v>
      </c>
      <c r="K136">
        <v>31</v>
      </c>
      <c r="L136">
        <f t="shared" si="5"/>
        <v>0.82352941176470584</v>
      </c>
    </row>
    <row r="137" spans="5:13" x14ac:dyDescent="0.2">
      <c r="E137" t="s">
        <v>603</v>
      </c>
      <c r="F137">
        <v>52</v>
      </c>
      <c r="H137">
        <v>60</v>
      </c>
      <c r="I137">
        <f t="shared" si="3"/>
        <v>0.8666666666666667</v>
      </c>
      <c r="J137">
        <v>14</v>
      </c>
      <c r="K137">
        <v>30</v>
      </c>
      <c r="L137">
        <f t="shared" si="5"/>
        <v>1.1428571428571428</v>
      </c>
      <c r="M137" t="s">
        <v>651</v>
      </c>
    </row>
    <row r="138" spans="5:13" x14ac:dyDescent="0.2">
      <c r="E138" t="s">
        <v>603</v>
      </c>
      <c r="F138">
        <v>50</v>
      </c>
      <c r="H138">
        <v>68</v>
      </c>
      <c r="I138">
        <f t="shared" si="3"/>
        <v>0.73529411764705888</v>
      </c>
      <c r="J138">
        <v>17</v>
      </c>
      <c r="K138">
        <v>30</v>
      </c>
      <c r="L138">
        <f t="shared" si="5"/>
        <v>0.76470588235294112</v>
      </c>
      <c r="M138" t="s">
        <v>651</v>
      </c>
    </row>
    <row r="139" spans="5:13" x14ac:dyDescent="0.2">
      <c r="E139" s="30" t="s">
        <v>598</v>
      </c>
      <c r="F139">
        <v>65</v>
      </c>
      <c r="H139">
        <v>80</v>
      </c>
      <c r="I139">
        <f t="shared" si="3"/>
        <v>0.8125</v>
      </c>
      <c r="M139" t="s">
        <v>651</v>
      </c>
    </row>
    <row r="140" spans="5:13" x14ac:dyDescent="0.2">
      <c r="E140" s="30" t="s">
        <v>598</v>
      </c>
      <c r="F140">
        <v>68</v>
      </c>
      <c r="H140">
        <v>78</v>
      </c>
      <c r="I140">
        <f t="shared" si="3"/>
        <v>0.87179487179487181</v>
      </c>
      <c r="M140" t="s">
        <v>651</v>
      </c>
    </row>
    <row r="141" spans="5:13" x14ac:dyDescent="0.2">
      <c r="E141" s="30" t="s">
        <v>598</v>
      </c>
      <c r="F141">
        <v>64</v>
      </c>
      <c r="H141">
        <v>80</v>
      </c>
      <c r="I141">
        <f t="shared" si="3"/>
        <v>0.8</v>
      </c>
      <c r="M141" t="s">
        <v>651</v>
      </c>
    </row>
    <row r="142" spans="5:13" x14ac:dyDescent="0.2">
      <c r="E142" s="30" t="s">
        <v>598</v>
      </c>
      <c r="F142">
        <v>65</v>
      </c>
      <c r="H142">
        <v>80</v>
      </c>
      <c r="I142">
        <f t="shared" si="3"/>
        <v>0.8125</v>
      </c>
      <c r="M142" t="s">
        <v>651</v>
      </c>
    </row>
    <row r="143" spans="5:13" x14ac:dyDescent="0.2">
      <c r="E143" s="30" t="s">
        <v>598</v>
      </c>
      <c r="F143">
        <v>63</v>
      </c>
      <c r="H143">
        <v>78</v>
      </c>
      <c r="I143">
        <f t="shared" si="3"/>
        <v>0.80769230769230771</v>
      </c>
      <c r="M143" t="s">
        <v>651</v>
      </c>
    </row>
    <row r="144" spans="5:13" x14ac:dyDescent="0.2">
      <c r="E144" s="30" t="s">
        <v>598</v>
      </c>
      <c r="F144">
        <v>64</v>
      </c>
      <c r="H144">
        <v>80</v>
      </c>
      <c r="I144">
        <f t="shared" si="3"/>
        <v>0.8</v>
      </c>
      <c r="M144" t="s">
        <v>651</v>
      </c>
    </row>
    <row r="145" spans="5:13" x14ac:dyDescent="0.2">
      <c r="E145" s="30" t="s">
        <v>598</v>
      </c>
      <c r="F145">
        <v>65</v>
      </c>
      <c r="H145">
        <v>80</v>
      </c>
      <c r="I145">
        <f t="shared" si="3"/>
        <v>0.8125</v>
      </c>
      <c r="M145" t="s">
        <v>651</v>
      </c>
    </row>
    <row r="146" spans="5:13" x14ac:dyDescent="0.2">
      <c r="E146" s="30" t="s">
        <v>602</v>
      </c>
      <c r="F146">
        <v>65</v>
      </c>
      <c r="H146">
        <v>77</v>
      </c>
      <c r="I146">
        <f t="shared" si="3"/>
        <v>0.8441558441558441</v>
      </c>
    </row>
    <row r="147" spans="5:13" x14ac:dyDescent="0.2">
      <c r="E147" s="30" t="s">
        <v>602</v>
      </c>
      <c r="F147">
        <v>63</v>
      </c>
      <c r="H147">
        <v>72</v>
      </c>
      <c r="I147">
        <f t="shared" si="3"/>
        <v>0.875</v>
      </c>
    </row>
    <row r="148" spans="5:13" x14ac:dyDescent="0.2">
      <c r="E148" s="30" t="s">
        <v>602</v>
      </c>
      <c r="F148">
        <v>63</v>
      </c>
      <c r="H148">
        <v>77</v>
      </c>
      <c r="I148">
        <f t="shared" si="3"/>
        <v>0.81818181818181823</v>
      </c>
    </row>
    <row r="149" spans="5:13" x14ac:dyDescent="0.2">
      <c r="E149" s="30" t="s">
        <v>602</v>
      </c>
      <c r="F149">
        <v>63</v>
      </c>
      <c r="H149">
        <v>78</v>
      </c>
      <c r="I149">
        <f t="shared" si="3"/>
        <v>0.80769230769230771</v>
      </c>
    </row>
    <row r="150" spans="5:13" x14ac:dyDescent="0.2">
      <c r="E150" s="30" t="s">
        <v>663</v>
      </c>
      <c r="F150">
        <v>57</v>
      </c>
      <c r="H150">
        <v>71</v>
      </c>
      <c r="I150">
        <f t="shared" si="3"/>
        <v>0.80281690140845074</v>
      </c>
    </row>
  </sheetData>
  <mergeCells count="2">
    <mergeCell ref="S110:V110"/>
    <mergeCell ref="O110:R110"/>
  </mergeCells>
  <phoneticPr fontId="41" type="noConversion"/>
  <pageMargins left="0.7" right="0.7" top="0.75" bottom="0.75" header="0.3" footer="0.3"/>
  <pageSetup orientation="portrait" horizontalDpi="0" verticalDpi="0"/>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taxa</vt:lpstr>
      <vt:lpstr>characters</vt:lpstr>
      <vt:lpstr>values</vt:lpstr>
      <vt:lpstr>media</vt:lpstr>
      <vt:lpstr>config</vt:lpstr>
      <vt:lpstr>macros</vt:lpstr>
      <vt:lpstr>Notes</vt:lpstr>
      <vt:lpstr>Measurements</vt:lpstr>
      <vt:lpstr>Notes!Print_Area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cp:lastPrinted>2023-03-01T06:14:56Z</cp:lastPrinted>
  <dcterms:created xsi:type="dcterms:W3CDTF">2015-11-24T14:25:35Z</dcterms:created>
  <dcterms:modified xsi:type="dcterms:W3CDTF">2023-09-26T23:39:23Z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