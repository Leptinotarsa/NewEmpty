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6" codeName="{A63ED3A1-9429-3D75-F2AA-CA7E51A8F3A1}"/>
  <workbookPr codeName="ThisWorkbook"/>
  <mc:AlternateContent xmlns:mc="http://schemas.openxmlformats.org/markup-compatibility/2006">
    <mc:Choice Requires="x15">
      <x15ac:absPath xmlns:x15ac="http://schemas.microsoft.com/office/spreadsheetml/2010/11/ac" url="/Users/MSR2012/Documents/Tombiovis_WEB/NewEmpty/identikit/kb/LasioDialictus/"/>
    </mc:Choice>
  </mc:AlternateContent>
  <xr:revisionPtr revIDLastSave="0" documentId="8_{D0D12209-9C76-BE45-84D8-5661DCB24E14}" xr6:coauthVersionLast="47" xr6:coauthVersionMax="47" xr10:uidLastSave="{00000000-0000-0000-0000-000000000000}"/>
  <bookViews>
    <workbookView xWindow="9600" yWindow="780" windowWidth="40960" windowHeight="22540" xr2:uid="{00000000-000D-0000-FFFF-FFFF00000000}"/>
  </bookViews>
  <sheets>
    <sheet name="taxa" sheetId="16" r:id="rId1"/>
    <sheet name="characters" sheetId="26" r:id="rId2"/>
    <sheet name="values" sheetId="22" r:id="rId3"/>
    <sheet name="media" sheetId="30" r:id="rId4"/>
    <sheet name="config" sheetId="25" r:id="rId5"/>
    <sheet name="macros" sheetId="8" r:id="rId6"/>
    <sheet name="Notes" sheetId="29" r:id="rId7"/>
  </sheets>
  <definedNames>
    <definedName name="A" localSheetId="1">#REF!</definedName>
    <definedName name="A" localSheetId="4">#REF!</definedName>
    <definedName name="A" localSheetId="2">#REF!</definedName>
    <definedName name="A">#REF!</definedName>
    <definedName name="CheliceraSpur" localSheetId="1">#REF!</definedName>
    <definedName name="CheliceraSpur" localSheetId="4">#REF!</definedName>
    <definedName name="CheliceraSpur" localSheetId="2">#REF!</definedName>
    <definedName name="CheliceraSpur">#REF!</definedName>
    <definedName name="_xlnm.Print_Area" localSheetId="6">Notes!$E$31:$H$55</definedName>
    <definedName name="Top" localSheetId="6">Notes!#REF!</definedName>
    <definedName name="Top" localSheetId="0">taxa!#REF!</definedName>
  </definedNames>
  <calcPr calcId="191029"/>
  <webPublishing allowPng="1" targetScreenSize="1024x768" codePage="65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72" i="29" l="1"/>
  <c r="H72" i="29"/>
</calcChain>
</file>

<file path=xl/sharedStrings.xml><?xml version="1.0" encoding="utf-8"?>
<sst xmlns="http://schemas.openxmlformats.org/spreadsheetml/2006/main" count="1671" uniqueCount="526">
  <si>
    <t>key</t>
  </si>
  <si>
    <t>Character</t>
  </si>
  <si>
    <t>Label</t>
  </si>
  <si>
    <t>Help</t>
  </si>
  <si>
    <t>Status</t>
  </si>
  <si>
    <t>ControlType</t>
  </si>
  <si>
    <t>Weight</t>
  </si>
  <si>
    <t>ValueType</t>
  </si>
  <si>
    <t>Group</t>
  </si>
  <si>
    <t>Taxon</t>
  </si>
  <si>
    <t>CharacterState</t>
  </si>
  <si>
    <t>StateHelp</t>
  </si>
  <si>
    <t>Type</t>
  </si>
  <si>
    <t>Params</t>
  </si>
  <si>
    <t>Saves the individual worksheets that comprise the knoweldgebase into separate CSV files.</t>
  </si>
  <si>
    <t>CharacterStateTranslation</t>
  </si>
  <si>
    <t>Value</t>
  </si>
  <si>
    <t>Date</t>
  </si>
  <si>
    <t>Notes</t>
  </si>
  <si>
    <t>#Releases - keep track of the release history below this line. Most recent releases at the top. The version code in the 'value' column below this line should match that of the current release above it.</t>
  </si>
  <si>
    <t>Key</t>
  </si>
  <si>
    <t>metadata</t>
  </si>
  <si>
    <t>title</t>
  </si>
  <si>
    <t>year</t>
  </si>
  <si>
    <t>authors</t>
  </si>
  <si>
    <t>publisher</t>
  </si>
  <si>
    <t>location</t>
  </si>
  <si>
    <t>contact</t>
  </si>
  <si>
    <t>version</t>
  </si>
  <si>
    <t>#Main metadata about the key (e.g. for citing the key)</t>
  </si>
  <si>
    <t>release</t>
  </si>
  <si>
    <t>history</t>
  </si>
  <si>
    <t>Mandatory</t>
  </si>
  <si>
    <t>no</t>
  </si>
  <si>
    <t>yes</t>
  </si>
  <si>
    <t>multi</t>
  </si>
  <si>
    <t>CB published an initial test version</t>
  </si>
  <si>
    <t>text</t>
  </si>
  <si>
    <t>Modified by RB to illustrate some of the different features of knowledge representation.</t>
  </si>
  <si>
    <t>This macro will get the unique values from a highlighted set of character states in the taxa sheet and put unique values to the clipboard. For single cells it will separate values using the separators|. It will also strip of (m) and (f) from the end of values.</t>
  </si>
  <si>
    <t>This macro will get the maximum and minimum values from a highlighted set of numeric character states in the taxa and put them in the clipboard. It copes with ranges.</t>
  </si>
  <si>
    <t>HelpShort</t>
  </si>
  <si>
    <t>StateHelpShort</t>
  </si>
  <si>
    <t>Latitude</t>
  </si>
  <si>
    <t>StateGroup</t>
  </si>
  <si>
    <r>
      <t>This version of the Identikit Excel template was released with</t>
    </r>
    <r>
      <rPr>
        <b/>
        <sz val="11"/>
        <color theme="1"/>
        <rFont val="Calibri"/>
        <family val="2"/>
        <scheme val="minor"/>
      </rPr>
      <t xml:space="preserve"> version 1.7.0 </t>
    </r>
    <r>
      <rPr>
        <sz val="11"/>
        <color theme="1"/>
        <rFont val="Calibri"/>
        <family val="2"/>
        <scheme val="minor"/>
      </rPr>
      <t xml:space="preserve">of the FSC Identikit. It incorporates changes from version 1.6.0, including a fix to prevent strange button resizing and a change to ensure that CSVs are generated with the UTF-8 character set (helping to eliminate problems with the display of non American-English characters.  If your knowledge-base is based on an older  Excel template, it may not have the same macro capability. You can upgrade to a new version of the Excel  template simply by copying a new template (biscuits.xlsm), renaming it and deleting all worksheets except this 'macros' worksheet, opening your old workbook and copying the five data worksheets across. A video showing how this can be done very simply can be seen here: </t>
    </r>
  </si>
  <si>
    <t>https://youtu.be/6E7Z9xewNng</t>
  </si>
  <si>
    <t>Modified by RB to complement version 1.7.0 release of Identikit.</t>
  </si>
  <si>
    <t>1.7.1</t>
  </si>
  <si>
    <t>Minor fix to add new media fields.</t>
  </si>
  <si>
    <t>1.8.0</t>
  </si>
  <si>
    <t>Minor changes.</t>
  </si>
  <si>
    <t>1.9.0</t>
  </si>
  <si>
    <t>head</t>
  </si>
  <si>
    <t>Corvallis, OR</t>
  </si>
  <si>
    <t>Complete</t>
  </si>
  <si>
    <t>Interrupted</t>
  </si>
  <si>
    <t>AbdColor</t>
  </si>
  <si>
    <t>Dark</t>
  </si>
  <si>
    <t>Absent</t>
  </si>
  <si>
    <t>Long</t>
  </si>
  <si>
    <t>Short</t>
  </si>
  <si>
    <t>Smooth</t>
  </si>
  <si>
    <t xml:space="preserve">abdomen </t>
  </si>
  <si>
    <t>thorax</t>
  </si>
  <si>
    <t>David Cappaert</t>
  </si>
  <si>
    <t>single</t>
  </si>
  <si>
    <t>GenaWidth</t>
  </si>
  <si>
    <t>HeadShape</t>
  </si>
  <si>
    <t>T2Patch</t>
  </si>
  <si>
    <t>T1Basal</t>
  </si>
  <si>
    <t>MesepiTexture</t>
  </si>
  <si>
    <t>PropEdge</t>
  </si>
  <si>
    <t>PropLength</t>
  </si>
  <si>
    <t>PropLatCar</t>
  </si>
  <si>
    <t>Det</t>
  </si>
  <si>
    <t>IAE100145</t>
  </si>
  <si>
    <t>Lasioglossum ruidosense</t>
  </si>
  <si>
    <t>barcode</t>
  </si>
  <si>
    <t>IAE100563</t>
  </si>
  <si>
    <t>Lasioglossum incompletum</t>
  </si>
  <si>
    <t>IAE100796</t>
  </si>
  <si>
    <t>Lasioglossum albipenne</t>
  </si>
  <si>
    <t>IAE100871</t>
  </si>
  <si>
    <t>Lasioglossum avalonense</t>
  </si>
  <si>
    <t>IAE104029</t>
  </si>
  <si>
    <r>
      <t>Lasioglossum villosulum</t>
    </r>
    <r>
      <rPr>
        <sz val="12"/>
        <color theme="1"/>
        <rFont val="Calibri"/>
        <family val="2"/>
        <scheme val="minor"/>
      </rPr>
      <t> </t>
    </r>
  </si>
  <si>
    <t>IAE108620</t>
  </si>
  <si>
    <r>
      <t>Lasioglossum cressonii</t>
    </r>
    <r>
      <rPr>
        <sz val="12"/>
        <color theme="1"/>
        <rFont val="Calibri"/>
        <family val="2"/>
        <scheme val="minor"/>
      </rPr>
      <t>.</t>
    </r>
  </si>
  <si>
    <t>IAE109167</t>
  </si>
  <si>
    <t>Lasioglossum ocultum</t>
  </si>
  <si>
    <t>ID</t>
  </si>
  <si>
    <t>Note</t>
  </si>
  <si>
    <t>Round</t>
  </si>
  <si>
    <t>LightTan</t>
  </si>
  <si>
    <t>DarkBrownBlack</t>
  </si>
  <si>
    <t>Small</t>
  </si>
  <si>
    <t>Rounded</t>
  </si>
  <si>
    <t>CarinaBroken</t>
  </si>
  <si>
    <t>CarinaComplete</t>
  </si>
  <si>
    <t>Genal width</t>
  </si>
  <si>
    <t>"Fan" of hairs on T1 facing thorax</t>
  </si>
  <si>
    <t>Lateral carina on posterior of propodeum</t>
  </si>
  <si>
    <t>Character of propodeal sculpturing</t>
  </si>
  <si>
    <t>MesoPits</t>
  </si>
  <si>
    <t>FaceColor</t>
  </si>
  <si>
    <t>Integument color on face</t>
  </si>
  <si>
    <t xml:space="preserve">From the side, ratio of gena to eye. </t>
  </si>
  <si>
    <t>Sculpturing does not reach posterior edge</t>
  </si>
  <si>
    <t>Absent, or less than half of propodum height</t>
  </si>
  <si>
    <t>Clearly more than half of height</t>
  </si>
  <si>
    <t>Sculpturing reaches within 10% of edge</t>
  </si>
  <si>
    <t>Identikit key: Weak-veined Lasioglossum of the Prairie Pollinator Project</t>
  </si>
  <si>
    <t>Pit spacing 2 or more diameters</t>
  </si>
  <si>
    <t>Pit spacing about 0.5 diameter</t>
  </si>
  <si>
    <t>Pit spacing about 1 diameters</t>
  </si>
  <si>
    <t>Brown or black</t>
  </si>
  <si>
    <t>PropSculpture</t>
  </si>
  <si>
    <t>Carina edge-edge</t>
  </si>
  <si>
    <t>Do the longest, medial striations reach the posterior edge of the propodeum?</t>
  </si>
  <si>
    <t>Area of appressed hairs on sides of T2</t>
  </si>
  <si>
    <t>Evenly round</t>
  </si>
  <si>
    <t>Convergence ventrally creates a tall appearance</t>
  </si>
  <si>
    <t>One</t>
  </si>
  <si>
    <t>Narrow</t>
  </si>
  <si>
    <t>Narrow|One</t>
  </si>
  <si>
    <t>Wide</t>
  </si>
  <si>
    <t>About the eye width</t>
  </si>
  <si>
    <t>Propodeal enclosure, carina on posterior edge</t>
  </si>
  <si>
    <t>Rounded, lacking a sharp posterior carina</t>
  </si>
  <si>
    <t>Carina distinct at edges, medially interrupted</t>
  </si>
  <si>
    <t>Difficult to quantify. In the photos, what is close?</t>
  </si>
  <si>
    <t>Head shape, impression</t>
  </si>
  <si>
    <t>Round|dunno</t>
  </si>
  <si>
    <t>GreenOrBlue</t>
  </si>
  <si>
    <t>Distinctly metallic, esp above antennae</t>
  </si>
  <si>
    <t>Mostly dark</t>
  </si>
  <si>
    <t>MesepiColor</t>
  </si>
  <si>
    <t>Color of integument on mesepisternum</t>
  </si>
  <si>
    <t>Greater than eye width. G/EYE &gt;1.1</t>
  </si>
  <si>
    <t>Less than eye width G/EYE &lt;0.9</t>
  </si>
  <si>
    <t>Closer to tawny; often with light/clear posterior edge of terga</t>
  </si>
  <si>
    <t>Medial gap between fans on either side</t>
  </si>
  <si>
    <t>Covered by fan</t>
  </si>
  <si>
    <t>URI</t>
  </si>
  <si>
    <t>SmallURI</t>
  </si>
  <si>
    <t>LargeURI</t>
  </si>
  <si>
    <t>ImageWidth</t>
  </si>
  <si>
    <t>Priority</t>
  </si>
  <si>
    <t>Caption</t>
  </si>
  <si>
    <t>State</t>
  </si>
  <si>
    <t>UseFor</t>
  </si>
  <si>
    <t>TipStyle</t>
  </si>
  <si>
    <t>#Taxon L. ruidosense</t>
  </si>
  <si>
    <t>https://photos.smugmug.com/Misc/n-WzFZFQ/95barcode-pix-IAEA-2022-1/i-QF3tGSz/0/117cf169/X3/IAE100145-X3.jpg</t>
  </si>
  <si>
    <t>image-web</t>
  </si>
  <si>
    <t>Lateral view, barcode specimen image</t>
  </si>
  <si>
    <t>https://photos.smugmug.com/Misc/n-WzFZFQ/ID-Key-dialictus/i-FbNHH8P/0/4156d10d/X4/Lasioglossum%20ruidosense%2Chead-X4.jpg</t>
  </si>
  <si>
    <t>https://photos.smugmug.com/Misc/n-WzFZFQ/ID-Key-dialictus/i-CsbW8dP/0/fc017522/X4/Lasioglossum%2Cthorax%2Cpropodeum%2Cruidosense-X4.jpg</t>
  </si>
  <si>
    <t>https://photos.smugmug.com/Misc/n-WzFZFQ/ID-Key-dialictus/i-zk8cwLX/0/7324de69/X4/Lasioglossum%2Cthorax%2Cscutum%2Cruidosense2-X4.jpg</t>
  </si>
  <si>
    <t>https://photos.smugmug.com/Misc/n-WzFZFQ/ID-Key-dialictus/i-3S2RcFR/0/bbc76095/X4/Lasioglossum%2Cabdomen%2Cruidosense%2C100145-X4.jpg</t>
  </si>
  <si>
    <t>#</t>
  </si>
  <si>
    <t>#Taxon L. incompletum</t>
  </si>
  <si>
    <t>https://photos.smugmug.com/Misc/n-WzFZFQ/95barcode-pix-IAEA-2022-1/i-XX58WqW/0/48a55fb1/X3/IAE100563-X3.jpg</t>
  </si>
  <si>
    <t>https://photos.smugmug.com/Misc/n-WzFZFQ/ID-Key-dialictus/i-Tb3JGd6/0/8df17a66/X4/Lasioglossum%20incompletum%2Cfemale%2Chead%2CIAE%20100563psd-X4.jpg</t>
  </si>
  <si>
    <t>https://photos.smugmug.com/Misc/n-WzFZFQ/ID-Key-dialictus/i-C8Mhw6V/0/ddbb9b31/X4/Lasioglossum%2Cthorax%2Cpropodeum%2Cflappy2-X4.jpg</t>
  </si>
  <si>
    <t>https://photos.smugmug.com/Misc/n-WzFZFQ/ID-Key-dialictus/i-KBWQDpS/0/d364d9de/X4/Lasioglossum%2Cthorax%2Cmesepi%2Cincompletum-X4.jpg</t>
  </si>
  <si>
    <t>https://photos.smugmug.com/Misc/n-WzFZFQ/ID-Key-dialictus/i-Rj9Z2fz/0/0ee0e9ad/X4/Lasioglossum%2Cthorax%2Cscutum%2Cincompletum-X4.jpg</t>
  </si>
  <si>
    <t>https://photos.smugmug.com/Misc/n-WzFZFQ/ID-Key-dialictus/i-DRjN85B/0/dcbb84d7/X4/Lasioglossum%2Cabdomen%2Cincompletum%2C100563-X4.jpg</t>
  </si>
  <si>
    <t>#Taxon L. albipenne</t>
  </si>
  <si>
    <t>https://photos.smugmug.com/Misc/n-WzFZFQ/95barcode-pix-IAEA-2022-1/i-LfkPcmv/0/3f5e05bf/X3/IAE100796-X3.jpg</t>
  </si>
  <si>
    <t>https://photos.smugmug.com/Misc/n-WzFZFQ/ID-Key-dialictus/i-KM4Ww4v/0/451255f5/X4/Lasioglossum%20albipenne%2Cfemale%2Chead-X4.jpg</t>
  </si>
  <si>
    <t>Face view</t>
  </si>
  <si>
    <t>https://photos.smugmug.com/Misc/n-WzFZFQ/ID-Key-dialictus/i-xnbSkfG/0/710c88f1/X5/Lasioglossum%2Cwing%2Cyellow%20veins%2Calbipenne-X5.jpg</t>
  </si>
  <si>
    <t>#Taxon L. avalonense</t>
  </si>
  <si>
    <t>https://photos.smugmug.com/Misc/n-WzFZFQ/95barcode-pix-IAEA-2022-1/i-bK7p2GZ/0/568b4dfb/X3/IAE100871-X3.jpg</t>
  </si>
  <si>
    <t>https://photos.smugmug.com/Misc/n-WzFZFQ/ID-Key-dialictus/i-tQZhqvX/0/b3186c84/X4/Lasioglossum%20avalonense%2Cfemale%2Chead%2CIAE%20100871-X4.jpg</t>
  </si>
  <si>
    <t>https://photos.smugmug.com/Misc/n-WzFZFQ/ID-Key-dialictus/i-T8JKFfz/0/e8929d85/X4/Lasioglossum%2Cthorax%2Cpropodeum%2Cavalosense-X4.jpg</t>
  </si>
  <si>
    <t>#below - mesepi, filename saus propodeum</t>
  </si>
  <si>
    <t>https://photos.smugmug.com/Misc/n-WzFZFQ/ID-Key-dialictus/i-Hjb2T3c/0/56008033/X5/Lasioglossum%2Cthorax%2Cpropodeum%2Cavolanense-X5.jpg</t>
  </si>
  <si>
    <t>https://photos.smugmug.com/Misc/n-WzFZFQ/95barcode-pix-IAEA-2022-1/i-jPhbKtN/0/c0491751/X3/IAE104029-X3.jpg</t>
  </si>
  <si>
    <t>https://photos.smugmug.com/Misc/n-WzFZFQ/ID-Key-dialictus/i-5txxF2d/0/e3ea2dc7/X4/Lasioglossum%20villosulum%2Cfemale%2Clateral-X4.jpg</t>
  </si>
  <si>
    <t>https://photos.smugmug.com/Misc/n-WzFZFQ/ID-Key-dialictus/i-wgRBtqb/0/6b268108/X4/Lasioglossum%2Cthorax%2Cpropodeum%2Cvillosulum-X4.jpg</t>
  </si>
  <si>
    <t>https://photos.smugmug.com/Misc/n-WzFZFQ/ID-Key-dialictus/i-NKqZHds/0/27f8d21e/X4/Lasioglossum%2Cthorax%2Cmesepisternum%2Cvillosulum-X4.jpg</t>
  </si>
  <si>
    <t>https://photos.smugmug.com/Misc/n-WzFZFQ/ID-Key-dialictus/i-HmhcjJq/0/a9005127/X5/2023-01-11%2017-39-03-X5.jpg</t>
  </si>
  <si>
    <t>#Taxon L. cressonii.</t>
  </si>
  <si>
    <t>https://photos.smugmug.com/Misc/n-WzFZFQ/95barcode-pix-IAEA-2022-1/i-sMxqQW6/0/3fe8bfb5/X3/IAE108620-X3.jpg</t>
  </si>
  <si>
    <t>https://photos.smugmug.com/Misc/n-WzFZFQ/ID-Key-dialictus/i-WWJW6xW/0/235181bf/X4/Lasioglossum%20cressonii%2Cfemale%2Chead%2CIAE%20108620-X4.jpg</t>
  </si>
  <si>
    <t xml:space="preserve">Note the spots of blue. </t>
  </si>
  <si>
    <t>https://photos.smugmug.com/Misc/n-WzFZFQ/ID-Key-dialictus/i-gKXGJjR/0/bc5a7588/X4/Lasioglossum%2Cthorax%2Cprop%20break%20in%20ctr%2Ccressonii-X4.jpg</t>
  </si>
  <si>
    <t>https://photos.smugmug.com/Misc/n-WzFZFQ/ID-Key-dialictus/i-WVcnHLW/0/6218a7eb/X4/Lasioglossum%2Cthorax%2Cmesepisternum%20rough%2Ccressonii-X4.jpg</t>
  </si>
  <si>
    <t>https://photos.smugmug.com/Misc/n-WzFZFQ/95barcode-pix-IAEA-2022-1/i-n5cDj2K/0/8be8d590/X3/IAE109167-X3.jpg</t>
  </si>
  <si>
    <t>https://photos.smugmug.com/Misc/n-WzFZFQ/ID-Key-dialictus/i-Lhxr3XZ/0/ac457d27/X4/Lasioglossum%20ocultum%2Cfemale%2Chead%2C109167-X4.jpg</t>
  </si>
  <si>
    <t>https://photos.smugmug.com/Misc/n-WzFZFQ/ID-Key-dialictus/i-JLSTFvw/0/8d870fce/X4/Lasioglossum%2Cthorax%2Cpropodeum%2Cocultum-X4.jpg</t>
  </si>
  <si>
    <t>https://photos.smugmug.com/Misc/n-WzFZFQ/ID-Key-dialictus/i-9TJXjpR/0/db3bb98e/X4/Lasioglossum%2Cthorax%2Cmesepisternum%2Cocultum-X4.jpg</t>
  </si>
  <si>
    <t>https://photos.smugmug.com/Misc/n-WzFZFQ/ID-Key-dialictus/i-JrjR67m/0/11cff786/X4/Lasioglossum%2Cthorax%2Cscutum%2Cocultum-X4.jpg</t>
  </si>
  <si>
    <t>https://photos.smugmug.com/Misc/n-WzFZFQ/ID-Key-dialictus/i-zq5Kc5b/0/d9b9d162/X4/Lasioglossum%2Chead%2Cgena%20.63xeye-X4.jpg</t>
  </si>
  <si>
    <t>L. albipenne</t>
  </si>
  <si>
    <t>#Head Shape</t>
  </si>
  <si>
    <t># Scutum pits</t>
  </si>
  <si>
    <t>https://photos.smugmug.com/Misc/n-WzFZFQ/ID-Key-dialictus/i-j7BcS8m/0/7faad351/X4/Lasioglossum%2Cthorax%2Cscutum%2Cflappy-X4.jpg</t>
  </si>
  <si>
    <t>https://photos.smugmug.com/Misc/n-WzFZFQ/ID-Key-dialictus/i-sK7jCdb/0/6790023e/X2/Lasioglossum%2Cthorax%2Cscutum%2Cpit%20spaceNEW%2Cavalosense-X2.jpg</t>
  </si>
  <si>
    <t>#MesepiTexture</t>
  </si>
  <si>
    <t>L. incompletum</t>
  </si>
  <si>
    <t>#MesepiColor</t>
  </si>
  <si>
    <t>https://photos.smugmug.com/Misc/n-WzFZFQ/ID-Key-dialictus/i-KBWQDpS/0/d364d9de/X5/Lasioglossum%2Cthorax%2Cmesepi%2Cincompletum-X5.jpg</t>
  </si>
  <si>
    <t>#Propodeum</t>
  </si>
  <si>
    <t>L. cressonii</t>
  </si>
  <si>
    <t>https://photos.smugmug.com/Misc/n-WzFZFQ/ID-Key-dialictus/i-6sVXCDW/0/00bcf820/X4/Lasioglossum%2Cthorax%2Cprop%20lateral%20carina%2Ctruncatum-X4.jpg</t>
  </si>
  <si>
    <t>L. truncatum</t>
  </si>
  <si>
    <t>https://photos.smugmug.com/Misc/n-WzFZFQ/ID-Key-dialictus/i-8xsS2Wg/0/d1a25082/X4/Lasioglossum%2Cthorax%2Cpropodeum%20carinate-X4.jpg</t>
  </si>
  <si>
    <t>https://photos.smugmug.com/Misc/n-WzFZFQ/ID-Key-dialictus/i-swMGQdD/0/d5880c5e/X4/Lasioglossum%2Cthorax%2Cprop%20rounded%2Ctrigeminum-X4.jpg</t>
  </si>
  <si>
    <t>L. trigeminum</t>
  </si>
  <si>
    <t>L. avalolonense</t>
  </si>
  <si>
    <t>#Abdomen</t>
  </si>
  <si>
    <t>https://photos.smugmug.com/Misc/n-WzFZFQ/ID-Key-dialictus/i-BS6xFtx/0/f0e9c315/X4/Lasioglossum%2CAbdomen%2C%20T1%2Cprone%20hair%20patch%2Cpilosum-X4.jpg</t>
  </si>
  <si>
    <t>L. pilosum</t>
  </si>
  <si>
    <t>https://photos.smugmug.com/Misc/n-WzFZFQ/ID-Key-dialictus/i-cGn7pCj/0/86270411/X4/Lasioglossum%2CAbdomen%2C%20T1%2Cfan%20interrupted%2Cpilosum-X4.jpg</t>
  </si>
  <si>
    <t>https://photos.smugmug.com/Misc/n-WzFZFQ/ID-Key-dialictus/i-FPfzdRg/0/a3c4f1c0/X4/Lasioglossum%2Cabdomen%2CT1%20complete%20fan%2C108203-X4.jpg</t>
  </si>
  <si>
    <t>https://photos.smugmug.com/Misc/n-WzFZFQ/ID-Key-dialictus/i-7QZ8ncq/0/8bcd7b52/X4/Lasioglossum%2Cabdomen%2CT1%20no%20fan-X4.jpg</t>
  </si>
  <si>
    <t>https://photos.smugmug.com/Misc/n-WzFZFQ/ID-Key-dialictus/i-rcKHbBG/0/f5bf3af6/X4/Lasioglossum%2Cabdomen%2Clight%20brown%2Cincompletum-X4.jpg</t>
  </si>
  <si>
    <t>#Head</t>
  </si>
  <si>
    <t>https://photos.smugmug.com/Misc/n-WzFZFQ/ID-Key-dialictus/i-kS8vLnC/0/bb786660/X4/Lasioglossum%2Chead%2Cgena%201.0xeye-X4.jpg</t>
  </si>
  <si>
    <t>https://photos.smugmug.com/Misc/n-WzFZFQ/ID-Key-dialictus/i-CGsf853/0/9e9e74f5/X4/Lasioglossum%2Chead%2Cgena%201.2xeye%2C103977-X4.jpg</t>
  </si>
  <si>
    <t>https://photos.smugmug.com/Misc/n-WzFZFQ/ID-Key-dialictus/i-9ds5FGQ/0/f75fad94/X3/HeadColor%20Dark%2Cocultum-X3.jpg</t>
  </si>
  <si>
    <t>https://photos.smugmug.com/Misc/n-WzFZFQ/ID-Key-dialictus/i-4rq7RVF/0/862b2891/X4/HeadColor%20Green%2Cincompletum-X4.jpg</t>
  </si>
  <si>
    <t>#Priority for taxon images:</t>
  </si>
  <si>
    <t># barcode pic, or better full specimen</t>
  </si>
  <si>
    <t>#head</t>
  </si>
  <si>
    <t>#thorax propodeum</t>
  </si>
  <si>
    <t>#thorax mesepi</t>
  </si>
  <si>
    <t>#thorax scutum</t>
  </si>
  <si>
    <t>MesoTexture</t>
  </si>
  <si>
    <t>Texture of scutum</t>
  </si>
  <si>
    <t>Integument beteen pits smooth or lightly textured; shiny or semi-glossy appearance</t>
  </si>
  <si>
    <t>Integument beteen pits marked with fine lines; dull appearance</t>
  </si>
  <si>
    <t>Light</t>
  </si>
  <si>
    <t>MesepiHair</t>
  </si>
  <si>
    <t>Color of hairs on lower mesepisternum</t>
  </si>
  <si>
    <t>White</t>
  </si>
  <si>
    <t>With some brown or yellow</t>
  </si>
  <si>
    <t>Definite patch of lateral appressed hairs</t>
  </si>
  <si>
    <t>Present</t>
  </si>
  <si>
    <t>https://photos.smugmug.com/Misc/n-WzFZFQ/ID-Key-dialictus/i-Xbb8kKp/0/86a86f55/X4/Lasioglossum%2Cabdomen%2Chairy%20T2%2C3%2Calbipenne%2C107037-X4.jpg</t>
  </si>
  <si>
    <t>T3-4Hairs</t>
  </si>
  <si>
    <t>https://photos.smugmug.com/Misc/n-WzFZFQ/ID-Key-dialictus/i-6NZrjSR/0/3759110e/X4/Lasioglossum%2Cabdomen%2Cintermediate%2Cavalonense-X4.jpg</t>
  </si>
  <si>
    <t>https://photos.smugmug.com/Misc/n-WzFZFQ/ID-Key-dialictus/i-JQrXb2T/0/b4e68a38/X4/Lasioglossum%2Cabdomen%2Coccultum%2C109888-X4.jpg</t>
  </si>
  <si>
    <t>https://photos.smugmug.com/Misc/n-WzFZFQ/ID-Key-dialictus/i-srSr3CB/0/3e24f94c/X4/Lasioglossum%2Cabdomen%2Cvillosulum-X4.jpg</t>
  </si>
  <si>
    <t>https://photos.smugmug.com/Misc/n-WzFZFQ/ID-Key-dialictus/i-DzXpR7m/0/3e421719/X4/Lasioglossum%2Cabdomen%2Cbetter%2Ccressonii%2C108620-X4.jpg</t>
  </si>
  <si>
    <t>https://photos.smugmug.com/Misc/n-WzFZFQ/ID-Key-dialictus/i-Dck9HDB/0/2f02d368/X4/Lasioglossum%2Cthorax%2Cscutum%2Ctruncatum-X4.jpg</t>
  </si>
  <si>
    <t>Lined</t>
  </si>
  <si>
    <t>https://photos.smugmug.com/Misc/n-WzFZFQ/ID-Key-dialictus/i-Bf837Dv/0/8d2ff174/X4/Lasioglossum%2Cthorax%2Cscutum%2Cpits%20dense-X4.jpg</t>
  </si>
  <si>
    <t>https://photos.smugmug.com/Misc/n-WzFZFQ/ID-Key-dialictus/i-dB75Jhp/0/09edd22c/X3/Lasioglossum%2Cthorax%2Cscutum%2Cshiny%2Cpectorale-X3.jpg</t>
  </si>
  <si>
    <t>C</t>
  </si>
  <si>
    <t>Dialictus</t>
  </si>
  <si>
    <t>1|2</t>
  </si>
  <si>
    <t>Complete|Interrupted</t>
  </si>
  <si>
    <t>MesepiPits</t>
  </si>
  <si>
    <t>Striate</t>
  </si>
  <si>
    <t>Striate-Rugose</t>
  </si>
  <si>
    <t>Rugose</t>
  </si>
  <si>
    <t>Striate-Areolate</t>
  </si>
  <si>
    <t>Pits on the mesepisternum</t>
  </si>
  <si>
    <t>Vague</t>
  </si>
  <si>
    <t>No pits evident</t>
  </si>
  <si>
    <t>Pits distinct, like on mesoscutum</t>
  </si>
  <si>
    <t>Sculpturing primarily striate-longitudinal ridges</t>
  </si>
  <si>
    <t>Sculpturing striate at least at base; also rugose--wrinkled</t>
  </si>
  <si>
    <t>Sculpturing striate at least at base; also areolate--fine pattern of enclosed spaces</t>
  </si>
  <si>
    <t>Glabrous</t>
  </si>
  <si>
    <t>Untextured, glabrous, shiny</t>
  </si>
  <si>
    <t>https://photos.smugmug.com/Misc/n-WzFZFQ/ID-Key-dialictus/i-x9dbNr3/0/71d6fdb6/X4/Lasioglossum%2Cthorax%2Cmesepisternum%2Cmesipunk%2CIAE109714-X4.jpg</t>
  </si>
  <si>
    <t>Note punctation on upper mesepi</t>
  </si>
  <si>
    <t>https://photos.smugmug.com/Misc/n-WzFZFQ/ID-Key-dialictus/i-mGG8LCd/0/24d396ce/X4/Lasioglossum%2Cthorax%2Cpropodeum%2Cmesipunk%2C109715-X4.jpg</t>
  </si>
  <si>
    <t>#Taxon L. mesiglab</t>
  </si>
  <si>
    <t>https://photos.smugmug.com/Misc/n-WzFZFQ/ID-Key-dialictus/i-2hnrwLz/0/064efde9/X4/Lasioglossum%2Cthorax%2Cmesepisternum%2Cmesiglab%2CIAE108411-X4.jpg</t>
  </si>
  <si>
    <t>Smooth surface, tiny shallow pits</t>
  </si>
  <si>
    <t>#Taxon v</t>
  </si>
  <si>
    <t>https://photos.smugmug.com/Misc/n-WzFZFQ/ID-Key-dialictus/i-s5XLnmw/0/c1b4ac1e/X3/Lasioglossum%2Cthorax%2Cpropodeum%2CMSV%2C104071-X3.jpg</t>
  </si>
  <si>
    <t>https://photos.smugmug.com/Misc/n-WzFZFQ/ID-Key-dialictus/i-VjGtdTV/0/8b4660ea/X3/Lasioglossum%2Cthorax%2Cpropodeum%2Crugose%2Cocultum-X3.jpg</t>
  </si>
  <si>
    <t>https://photos.smugmug.com/Misc/n-WzFZFQ/ID-Key-dialictus/i-rXK8k7H/0/c51636a6/X2/Lasioglossum%2Cthorax%2Cpropodeum%2Cstriate-rugose%2Cincompletum-X2.jpg</t>
  </si>
  <si>
    <t>https://photos.smugmug.com/Misc/n-WzFZFQ/ID-Key-dialictus/i-trz8f2h/0/3970f741/X2/Lasioglossum%2Cthorax%2Cpropodeum%2Cstriate%2Ctrigeminum-X2.jpg</t>
  </si>
  <si>
    <t>https://photos.smugmug.com/Misc/n-WzFZFQ/ID-Key-dialictus/i-bFPGML2/0/74a72441/X2/Lasioglossum%2Cthorax%2Cpropodeum%2Cstriate-areolate%2Cvillosulum-X2.jpg</t>
  </si>
  <si>
    <t>Irregular, rugose, without strong longitudinal straie</t>
  </si>
  <si>
    <t>Green</t>
  </si>
  <si>
    <t>Dark|Blue</t>
  </si>
  <si>
    <t>Dark|Green</t>
  </si>
  <si>
    <t>Blue</t>
  </si>
  <si>
    <t>Metallic, green-ish</t>
  </si>
  <si>
    <t>Metallic, blue-ish</t>
  </si>
  <si>
    <t>First batch</t>
  </si>
  <si>
    <t>L. villosulum</t>
  </si>
  <si>
    <t>L. ruidosense</t>
  </si>
  <si>
    <t>L. avalonense</t>
  </si>
  <si>
    <t>L. occultum</t>
  </si>
  <si>
    <t>IAE104071</t>
  </si>
  <si>
    <t>v</t>
  </si>
  <si>
    <t>Unique shape of propodeum-metanotum</t>
  </si>
  <si>
    <t>IAE108411</t>
  </si>
  <si>
    <t>mesiglab</t>
  </si>
  <si>
    <t>Completely glabrous, sparsely punctate mesepi</t>
  </si>
  <si>
    <t>Glabrous, or scattered erect hairs</t>
  </si>
  <si>
    <t>mesipunk</t>
  </si>
  <si>
    <t>IAE109714</t>
  </si>
  <si>
    <t>Punctate upper mesepi - see pic; shiny mesoscutum; not dialictus</t>
  </si>
  <si>
    <t>raisin</t>
  </si>
  <si>
    <t>Compare to other sp with rough mesepi: not dialictus; complete posterior carina.</t>
  </si>
  <si>
    <t>IncompletumVar</t>
  </si>
  <si>
    <t>Differs from incompletum: No "tabs" at corners of propodeum; mesepistyernum blue, not green</t>
  </si>
  <si>
    <t>evylaeus 23.1</t>
  </si>
  <si>
    <t>Notable: coarse, shallow pitting on mesoscutum</t>
  </si>
  <si>
    <t>Long hairs on T3 and T4; not hair bands</t>
  </si>
  <si>
    <t>evylaeus 23.2</t>
  </si>
  <si>
    <t>Hairs erect; not a "fan"</t>
  </si>
  <si>
    <t>Black</t>
  </si>
  <si>
    <t>Brown</t>
  </si>
  <si>
    <t>Color of abdominal terga</t>
  </si>
  <si>
    <t>AbdHyaline</t>
  </si>
  <si>
    <t>Posterior edge of T2, compared to middle of segment</t>
  </si>
  <si>
    <t>Edge markedly lighter or hyaline (clear)</t>
  </si>
  <si>
    <t>Edge not differentiated</t>
  </si>
  <si>
    <t>Metallic coloration is a defining feature of subgenus Dialictus</t>
  </si>
  <si>
    <t>#Thorax</t>
  </si>
  <si>
    <t>#Taxon Subgenus</t>
  </si>
  <si>
    <t>LasioLasio</t>
  </si>
  <si>
    <t>#HEAD</t>
  </si>
  <si>
    <t>#THORAX</t>
  </si>
  <si>
    <t>#SPECIAL</t>
  </si>
  <si>
    <t>Wing</t>
  </si>
  <si>
    <t>Weak</t>
  </si>
  <si>
    <t>Strong</t>
  </si>
  <si>
    <t>Second SMC cross vein</t>
  </si>
  <si>
    <t>See photos. Strong veined taxa in separate key</t>
  </si>
  <si>
    <t>Second submarginal cross vein weakened</t>
  </si>
  <si>
    <t>Tricky character - see photos. This is the condition for all taxa in this key</t>
  </si>
  <si>
    <t>This is the condition for larger bees, covered in a separate key</t>
  </si>
  <si>
    <t>#Taxon L. blueink</t>
  </si>
  <si>
    <t>Vague pits shallow or sparse (&gt;4 diameters)</t>
  </si>
  <si>
    <t>SupraPits</t>
  </si>
  <si>
    <t>SupraTexture</t>
  </si>
  <si>
    <t>https://photos.smugmug.com/Misc/n-WzFZFQ/ID-Key-dialictus/i-gPWdjLk/0/aec3596b/X5/Lasioglossum%2Chead%2Cround%20vs%20convergent-X5.jpg</t>
  </si>
  <si>
    <t>https://photos.smugmug.com/Misc/n-WzFZFQ/ID-Key-dialictus/i-Bgct8rt/0/520de685/X5/Lasioglossum%2C%20mesiglab%2Clateral%2CIAE%20110030-X5.jpg</t>
  </si>
  <si>
    <t>https://photos.smugmug.com/Misc/n-WzFZFQ/ID-Key-dialictus/i-B5hrQ9W/0/72d9e3d2/X5/Lasioglossum%20blueink%2Cfemale%2Clateral%2CJF-X5.jpg</t>
  </si>
  <si>
    <t>https://photos.smugmug.com/Misc/n-WzFZFQ/ID-Key-dialictus/i-KmgpP5C/0/a21acc68/X4/Lasioglossum%2C%20mesipunk%2Chead%2CIAE%20109559-X4.jpg</t>
  </si>
  <si>
    <t>https://photos.smugmug.com/Misc/n-WzFZFQ/ID-Key-dialictus/i-bx5bDKL/0/35e66469/X3/Lasioglossum%20albipenne%2Cfemale%2Cfisher%2Clateral-X3.jpg</t>
  </si>
  <si>
    <t>Lateral view</t>
  </si>
  <si>
    <t>https://photos.smugmug.com/Misc/n-WzFZFQ/ID-Key-dialictus/i-766ncdG/0/d8cb411a/X3/Lasioglossum%2Cabdomen%2CT2%20Not%20Hyaline%2Cevylaeus-X3.jpg</t>
  </si>
  <si>
    <t>https://photos.smugmug.com/Misc/n-WzFZFQ/ID-Key-dialictus/i-85Tf5cF/0/4c1a34aa/X2/Lasioglossum%2Cabdomen%2CT2%20Hyaline%2Cavalonense-X2.jpg</t>
  </si>
  <si>
    <t>html-local</t>
  </si>
  <si>
    <t>#Info files</t>
  </si>
  <si>
    <t>resources/text/TaxonAlbipenne.html</t>
  </si>
  <si>
    <t>resources/text/TaxonAvalonense.html</t>
  </si>
  <si>
    <t>resources/text/TaxonBlueink.html</t>
  </si>
  <si>
    <t>resources/text/TaxonCressonii.html</t>
  </si>
  <si>
    <t>resources/text/TaxonIncompletum.html</t>
  </si>
  <si>
    <t>resources/text/TaxonMesiglab.html</t>
  </si>
  <si>
    <t>resources/text/TaxonRuidosense.html</t>
  </si>
  <si>
    <t>resources/text/TaxonVillosulum.html</t>
  </si>
  <si>
    <t>#Taxon Lasioglossum kincaidii</t>
  </si>
  <si>
    <t>https://photos.smugmug.com/Misc/n-WzFZFQ/ID-Key-dialictus/i-HcVh4x6/1/fea0fd08/X5/Lasioglossum%2Cthorax%2Cmesepisternum%20rough%2Ckincaidii-X5.jpg</t>
  </si>
  <si>
    <t>https://photos.smugmug.com/Misc/n-WzFZFQ/ID-Key-dialictus/i-HLG8fZg/1/78cd624f/X5/Lasioglossum%2Cthorax%2Cpropodeum%2Ckincaidi-X5.jpg</t>
  </si>
  <si>
    <t>https://photos.smugmug.com/Misc/n-WzFZFQ/ID-Key-dialictus/i-QmL9b2R/1/795eadf3/5K/Lasioglossum%2Cabdomen%2Ckincaidi-5K.jpg</t>
  </si>
  <si>
    <t>https://photos.smugmug.com/Misc/n-WzFZFQ/ID-Key-dialictus/i-jcjKL8J/1/8181c2d0/X5/Lasioglossum%2Chead%2Cgena%2Ckincaidii-X5.jpg</t>
  </si>
  <si>
    <t>resources/text/TaxonKincaidii.html</t>
  </si>
  <si>
    <t>resources/text/TaxonOccultum.html</t>
  </si>
  <si>
    <t>Light wing veins unique for albipenne</t>
  </si>
  <si>
    <t>Supraclypeus: density of pits</t>
  </si>
  <si>
    <t>Supraclypeus: Integument between pits, on lower margin</t>
  </si>
  <si>
    <t>Erect</t>
  </si>
  <si>
    <t>https://photos.smugmug.com/Misc/n-WzFZFQ/ID-Key-dialictus/i-PBM9bp5/0/71f324e2/4K/Lasioglossum%2C%20Evylaeus23.2%2Clateral%2CIAE106001-4K.jpg</t>
  </si>
  <si>
    <t>https://photos.smugmug.com/Misc/n-WzFZFQ/ID-Key-dialictus/i-GKbxRcR/2/4a3f7f25/X4/Lasioglossum%2Cabdomen%2CT1%20basal%20hairs%20sparse%2Ccf.occultum-X4.jpg</t>
  </si>
  <si>
    <t>resources/text/TaxonSS.html</t>
  </si>
  <si>
    <t>https://photos.smugmug.com/Misc/n-WzFZFQ/ID-Key-dialictus/i-nVfrdbn/0/20548761/X4/Lasioglossum%2Clateral%2Cmesipunk%2CIAE110205-X4.jpg</t>
  </si>
  <si>
    <t>https://photos.smugmug.com/Misc/n-WzFZFQ/ID-Key-dialictus/i-9JLh4vN/0/ef754a5e/X3/Lasioglossum%2Chead%2Cmesipunk%2CIAE110205-X3.jpg</t>
  </si>
  <si>
    <t>The supraclypeus is the area between the top of the clypeus and the antennal bases</t>
  </si>
  <si>
    <t>Second submarginal cross vein strong</t>
  </si>
  <si>
    <t>https://photos.smugmug.com/Misc/n-WzFZFQ/ID-Key-dialictus/i-s8sxt6B/0/ae7ba86f/X4/Lasioglossum%2Cwing%2Css%20and%20sl%20comparison-X4.jpg</t>
  </si>
  <si>
    <t>Tip: a strong vein appears as a pair of dark lines</t>
  </si>
  <si>
    <t>resources/text/TaxonVillobar.html</t>
  </si>
  <si>
    <t>https://photos.smugmug.com/Misc/n-WzFZFQ/Lasio-Key-OBA/i-R3Gr6Vg/0/77569245/X4/Lasioglossum%20glabiventre%2Cfemale%2Cpropodeum-X4.jpg</t>
  </si>
  <si>
    <t>https://photos.smugmug.com/Misc/n-WzFZFQ/ID-Key-dialictus/i-Hjb2T3c/0/56008033/X4/Lasioglossum%2Cthorax%2Cpropodeum%2Cavolanense-X4.jpg</t>
  </si>
  <si>
    <t>https://photos.smugmug.com/Misc/n-WzFZFQ/ID-Key-dialictus/i-HLG8fZg/1/78cd624f/X4/Lasioglossum%2Cthorax%2Cpropodeum%2Ckincaidi-X4.jpg</t>
  </si>
  <si>
    <t>https://photos.smugmug.com/Misc/n-WzFZFQ/ID-Key-dialictus/i-8RPLmb2/1/e9c6b2aa/X5/Lasioglossum%2Cthorax%2Cpropodeum%2Ccf.occultum-X5.jpg</t>
  </si>
  <si>
    <t>L. occultum. The most typical case: the carina is not a heavily sclerotized edge as in cressonii, but a "rounding of the corner" from the lateral carina</t>
  </si>
  <si>
    <t>Hemihalictus</t>
  </si>
  <si>
    <t>Sphecodogastra</t>
  </si>
  <si>
    <t>Spur</t>
  </si>
  <si>
    <t>Inner hind tibial spur</t>
  </si>
  <si>
    <t>https://photos.smugmug.com/Misc/n-WzFZFQ/Lasio-Key-OBA/i-3nLC45Z/0/bb5c9b0b/X3/Lasioglossum%2Clegs%2Cinner%20tibial%20spur%2Cfew%20large%20teeth%2Coccultum-X3.jpg</t>
  </si>
  <si>
    <t>Evylaeus</t>
  </si>
  <si>
    <t>1|0.5</t>
  </si>
  <si>
    <t>Inner - the side held against the body</t>
  </si>
  <si>
    <t>Pectinate - comb-like, and short</t>
  </si>
  <si>
    <t>7 or fewer teeth, each less than the width of the rachis (the spur itself)</t>
  </si>
  <si>
    <t>Pectinate - comb-like, and long</t>
  </si>
  <si>
    <t>7 or fewer teeth, each as long or longer than the width of the rachis (the spur itself)</t>
  </si>
  <si>
    <t>Serrate</t>
  </si>
  <si>
    <t>Lateral appressed hairs absent or faint</t>
  </si>
  <si>
    <t>T1Pits</t>
  </si>
  <si>
    <t>T3HairBand</t>
  </si>
  <si>
    <t xml:space="preserve">T3 Basal hair band, similar to that of large Lasios </t>
  </si>
  <si>
    <t>May be complete or interrupted</t>
  </si>
  <si>
    <t>https://photos.smugmug.com/Misc/n-WzFZFQ/ID-Key-dialictus/i-JQrXb2T/1/b0cbadd8/X5/Lasioglossum%2Cabdomen%2Coccultum%2C109888-X5.jpg</t>
  </si>
  <si>
    <t>Dense</t>
  </si>
  <si>
    <t>https://photos.smugmug.com/Misc/n-WzFZFQ/ID-Key-dialictus/i-gDdpTvz/0/bf518b03/X4/Lasioglossum%2Cabdomen%2CT1%20pits%20widely%2Czonulum-X4.jpg</t>
  </si>
  <si>
    <t>https://photos.smugmug.com/Misc/n-WzFZFQ/ID-Key-dialictus/i-DzXpR7m/0/3e421719/X5/Lasioglossum%2Cabdomen%2Cbetter%2Ccressonii%2C108620-X5.jpg</t>
  </si>
  <si>
    <t>Sparse</t>
  </si>
  <si>
    <t>Pitting distinct and dense - spacing ~3 pit diameters or less</t>
  </si>
  <si>
    <t>Pitting on T1, wherever pits are densest</t>
  </si>
  <si>
    <t>Pits small, sparse - spacing 5 or more diameters</t>
  </si>
  <si>
    <t>https://photos.smugmug.com/Misc/n-WzFZFQ/Lasio-Key-OBA/i-JbfRpkL/0/605d5813/X5/Lasioglossum%2Cabdomen%2CT1%20pits%2Cargemonis-X5.jpg</t>
  </si>
  <si>
    <t>resources/text/TaxonArgemonis.html</t>
  </si>
  <si>
    <t>#Taxon L. argemonis</t>
  </si>
  <si>
    <t>https://photos.smugmug.com/Misc/n-WzFZFQ/Lasio-Key-OBA/i-QTD2MrV/0/19412ffe/X3/Lasioglossum%2Cfemale%2Clegs%2Cspur%2Cargemonis-X3.jpg</t>
  </si>
  <si>
    <t>https://photos.smugmug.com/Misc/n-WzFZFQ/Lasio-Key-OBA/i-D5QHhJK/0/f304fb85/X5/Lasioglossum%2Cthorax%2Cpropodeum%20short%20lateral%2Caregemonis-X5.jpg</t>
  </si>
  <si>
    <t>#Taxon L. s.s.</t>
  </si>
  <si>
    <t>https://photos.smugmug.com/Misc/n-WzFZFQ/IDKey-Lasioglossum/i-HxZX8np/0/cd328a50/X5/Lasioglossum%20Sysimbrii.fisher-X5.jpg</t>
  </si>
  <si>
    <t>https://photos.smugmug.com/Misc/n-WzFZFQ/IDKey-Lasioglossum/i-mz43bHX/0/fa8f1ab6/O/pacificum.6-9-2021.jefferson.jpg</t>
  </si>
  <si>
    <t>Absent|present</t>
  </si>
  <si>
    <t>Uniform</t>
  </si>
  <si>
    <t>Smooth with areas of roughness</t>
  </si>
  <si>
    <t>Entire area rough, like a washboard</t>
  </si>
  <si>
    <t>Heavy</t>
  </si>
  <si>
    <t>Very rough, 3-dimensional</t>
  </si>
  <si>
    <t>Uniform | Heavy</t>
  </si>
  <si>
    <t>Short | Long</t>
  </si>
  <si>
    <t>Teeth small and serrate, or absent</t>
  </si>
  <si>
    <t>None</t>
  </si>
  <si>
    <t>Impunctate</t>
  </si>
  <si>
    <t>Dark brown</t>
  </si>
  <si>
    <t>Impression is uniformly shiny; there may be tiny shallow pits</t>
  </si>
  <si>
    <t>Subgenus</t>
  </si>
  <si>
    <t>Metallic coloration is definitive for this subgenus</t>
  </si>
  <si>
    <t>Dialictus: Small bees with metallic integument</t>
  </si>
  <si>
    <t>Sphecodogastra: small (&lt;7mm) dark bees with strong carinae</t>
  </si>
  <si>
    <t>Hemihalictus: small dark bees (&lt;7mm&gt;with weak carinae</t>
  </si>
  <si>
    <t>Evylaeus: larger (~7mm) , brown-black bees</t>
  </si>
  <si>
    <t>https://photos.smugmug.com/Misc/n-WzFZFQ/Lasio-Key-OBA/i-NmjMRRW/0/05e81028/X2/Lasioglossum%2Clegs%2Cposterior%20spur%20pegs%2Cvillobar-X2.jpg</t>
  </si>
  <si>
    <t>https://photos.smugmug.com/Misc/n-WzFZFQ/Lasio-Key-OBA/i-XfZhCwP/0/7a1f1b76/X2/Lasioglossum%2Clegs%2Cspur%20teeth%2Cmacoupinense-X2.jpg</t>
  </si>
  <si>
    <t>Teeth short and wider at base - like saw teeth</t>
  </si>
  <si>
    <t>Subgenus sensu stricto</t>
  </si>
  <si>
    <t>Subgenus evylaeus. Tentative … probably argemonis, need more examples</t>
  </si>
  <si>
    <t>https://photos.smugmug.com/Misc/n-WzFZFQ/ID-Key-dialictus/i-zbft7DX/0/08297ef3/X4/Lasioglossum%20ruidosense%2Cfemale%2Chead%2CIAE101898-X4.jpg</t>
  </si>
  <si>
    <t>https://photos.smugmug.com/Misc/n-WzFZFQ/ID-Key-dialictus/i-LfBnJjq/0/5f194d3a/X4/Lasioglossum%2Cfemale%2Cmesepisternum%2Cruidosense%2CIAE101898-X4.jpg</t>
  </si>
  <si>
    <t>https://photos.smugmug.com/Misc/n-WzFZFQ/ID-Key-dialictus/i-bspP9t4/0/947ac201/X3/Lasioglossum%2Cthorax%2Cpropodeum%2Cruidosense%2CIAE%20101898-X3.jpg</t>
  </si>
  <si>
    <t>https://photos.smugmug.com/Misc/n-WzFZFQ/ID-Key-dialictus/i-DRw3rZw/0/92d1b20c/X3/Lasioglossum%2Cfemale%2Clegs%2Cspur%2Colympiae-X3.jpg</t>
  </si>
  <si>
    <t>https://photos.smugmug.com/Misc/n-WzFZFQ/ID-Key-dialictus/i-BP54tPS/0/4fe752fe/X4/Lasioglossum%2Cthorax%2Cpropodeum%20short%20lateral%2Caregemonis-X4.jpg</t>
  </si>
  <si>
    <t>#Taxon L. villobar - previously villosulum</t>
  </si>
  <si>
    <t>#Taxon occultum - previously evylaeus 23.2</t>
  </si>
  <si>
    <t>#Taxon L. villosulum - sensu Engler, previously mesipunk</t>
  </si>
  <si>
    <t>https://photos.smugmug.com/Misc/n-WzFZFQ/ID-Key-dialictus/i-ScQrktM/0/763cb19b/X4/Lasioglossum%2Cfemale%2Cmesepisternum%2Cblueink-X4.jpg</t>
  </si>
  <si>
    <t>https://photos.smugmug.com/Misc/n-WzFZFQ/ID-Key-dialictus/i-zZDXbnW/0/2d482796/X4/Lasioglossum%2Cfemale%2Chead%2Cblueink-X4.jpg</t>
  </si>
  <si>
    <t>Round | Long</t>
  </si>
  <si>
    <t>Texture of mesepisternum.</t>
  </si>
  <si>
    <t>#WING, Leg</t>
  </si>
  <si>
    <t xml:space="preserve"> Right click for overview of mesepisternum: &lt;a href="https://photos.smugmug.com/Misc/n-WzFZFQ/ID-Key-dialictus/i-nSQRm6B/0/834994c9/5K/Lasioglossum%20mesepisterna%20comparisons-5K.jpg"&gt;Guide to traits&lt;/a&gt;</t>
  </si>
  <si>
    <t>Right click for overview of propodeum: &lt;a href="https://photos.smugmug.com/Misc/n-WzFZFQ/ID-Key-dialictus/i-QQ4GFPv/0/4966c01c/X4/Lasioglossum%20propodeum%20comparisons-X4.jpg"&gt;Guide to terms used&lt;/a&gt;</t>
  </si>
  <si>
    <t>https://photos.smugmug.com/Misc/n-WzFZFQ/ID-Key-dialictus/i-B6JBzdF/0/6b46214e/X3/mesepi%20glabrous-X3.jpg</t>
  </si>
  <si>
    <t>https://photos.smugmug.com/Misc/n-WzFZFQ/ID-Key-dialictus/i-FhsDRvL/0/189b91e7/X3/mesepi%20light-X3.jpg</t>
  </si>
  <si>
    <t>https://photos.smugmug.com/Misc/n-WzFZFQ/ID-Key-dialictus/i-2tRVjC4/0/4248a0f6/X4/mesepi%20uniform%2C%20pits-X4.jpg</t>
  </si>
  <si>
    <t>https://photos.smugmug.com/Misc/n-WzFZFQ/ID-Key-dialictus/i-GW4pPXK/0/8314dfb5/X4/mesepi%20uniform-X4.jpg</t>
  </si>
  <si>
    <t>https://photos.smugmug.com/Misc/n-WzFZFQ/ID-Key-dialictus/i-sfs2DZw/0/62480de8/X4/mesepi%20rugose%2C%20no%20pits2-X4.jpg</t>
  </si>
  <si>
    <t>https://photos.smugmug.com/Misc/n-WzFZFQ/ID-Key-dialictus/i-bkZqbMc/0/7bf29cd1/X4/mesepi%20rugose%2C%20no%20pits-X4.jpg</t>
  </si>
  <si>
    <t xml:space="preserve">Lasioglossum sensu stricto: Large bees with white hair bands (subgenus sensu stricto) </t>
  </si>
  <si>
    <t>Helpful to know this; however other traits in the key will converge on a subgenus. Right click to open page: &lt;a href="https://photos.smugmug.com/Misc/n-WzFZFQ/ID-Key-dialictus/i-RgJC3gt/2/3913dfe2/X5/Lasio%20subgenus%20chart1-X5.jpg"&gt;Subgenus diagnosis&lt;/a&gt;</t>
  </si>
  <si>
    <t>Wing, leg</t>
  </si>
  <si>
    <t>Propodeum</t>
  </si>
  <si>
    <t>https://photos.smugmug.com/Misc/n-WzFZFQ/ID-Key-dialictus/i-Hjb2T3c/0/56008033/X5/L.%2Cthorax%2Cpropodeum%2Cavolanense-X5.jpg</t>
  </si>
  <si>
    <t>L. villobar </t>
  </si>
  <si>
    <t>L. mesiglab</t>
  </si>
  <si>
    <t>L. v</t>
  </si>
  <si>
    <t>L. kincaidii</t>
  </si>
  <si>
    <t>L. blueink</t>
  </si>
  <si>
    <t>L. argemonis</t>
  </si>
  <si>
    <t>L. s.s.</t>
  </si>
  <si>
    <t>L. villobar</t>
  </si>
  <si>
    <t>#L. zonulum</t>
  </si>
  <si>
    <t>#L. sisymbrii</t>
  </si>
  <si>
    <t>#L. olympiae</t>
  </si>
  <si>
    <t>Mesoscutum pit distribution</t>
  </si>
  <si>
    <t>Right click for &lt;a href="https://photos.smugmug.com/Misc/n-WzFZFQ/ID-Key-dialictus/i-Hc7Rr68/0/2b840a76/X4/Lasioglossum%20scutum%20comparisons-X4.jpg"&gt;Guide to mesoscutum traits&lt;/a&gt;</t>
  </si>
  <si>
    <r>
      <rPr>
        <b/>
        <sz val="16"/>
        <color theme="1"/>
        <rFont val="Calibri (Body)"/>
      </rPr>
      <t xml:space="preserve">L. incompletum </t>
    </r>
    <r>
      <rPr>
        <b/>
        <sz val="14"/>
        <color theme="1"/>
        <rFont val="Calibri"/>
        <family val="2"/>
        <scheme val="minor"/>
      </rPr>
      <t xml:space="preserve">
</t>
    </r>
    <r>
      <rPr>
        <b/>
        <sz val="12"/>
        <color theme="1"/>
        <rFont val="Calibri (Body)"/>
      </rPr>
      <t>Det. D. Cappaert 2023</t>
    </r>
  </si>
  <si>
    <r>
      <rPr>
        <b/>
        <sz val="16"/>
        <color theme="1"/>
        <rFont val="Calibri (Body)"/>
      </rPr>
      <t xml:space="preserve">L. blueink </t>
    </r>
    <r>
      <rPr>
        <b/>
        <sz val="14"/>
        <color theme="1"/>
        <rFont val="Calibri"/>
        <family val="2"/>
        <scheme val="minor"/>
      </rPr>
      <t xml:space="preserve">
</t>
    </r>
    <r>
      <rPr>
        <b/>
        <sz val="12"/>
        <color theme="1"/>
        <rFont val="Calibri (Body)"/>
      </rPr>
      <t>Det. D. Cappaert 2023</t>
    </r>
  </si>
  <si>
    <r>
      <rPr>
        <b/>
        <sz val="16"/>
        <color theme="1"/>
        <rFont val="Calibri (Body)"/>
      </rPr>
      <t xml:space="preserve">L. villosulum </t>
    </r>
    <r>
      <rPr>
        <b/>
        <sz val="14"/>
        <color theme="1"/>
        <rFont val="Calibri"/>
        <family val="2"/>
        <scheme val="minor"/>
      </rPr>
      <t xml:space="preserve">
</t>
    </r>
    <r>
      <rPr>
        <b/>
        <sz val="12"/>
        <color theme="1"/>
        <rFont val="Calibri (Body)"/>
      </rPr>
      <t>Det. D. Cappaert 2023</t>
    </r>
  </si>
  <si>
    <r>
      <rPr>
        <b/>
        <sz val="16"/>
        <color theme="1"/>
        <rFont val="Calibri (Body)"/>
      </rPr>
      <t xml:space="preserve">L. albipenne </t>
    </r>
    <r>
      <rPr>
        <b/>
        <sz val="14"/>
        <color theme="1"/>
        <rFont val="Calibri"/>
        <family val="2"/>
        <scheme val="minor"/>
      </rPr>
      <t xml:space="preserve">
</t>
    </r>
    <r>
      <rPr>
        <b/>
        <sz val="12"/>
        <color theme="1"/>
        <rFont val="Calibri (Body)"/>
      </rPr>
      <t>Det. D. Cappaert 2023</t>
    </r>
  </si>
  <si>
    <r>
      <rPr>
        <b/>
        <sz val="16"/>
        <color theme="1"/>
        <rFont val="Calibri (Body)"/>
      </rPr>
      <t xml:space="preserve">L. ruidosense </t>
    </r>
    <r>
      <rPr>
        <b/>
        <sz val="14"/>
        <color theme="1"/>
        <rFont val="Calibri"/>
        <family val="2"/>
        <scheme val="minor"/>
      </rPr>
      <t xml:space="preserve">
</t>
    </r>
    <r>
      <rPr>
        <b/>
        <sz val="12"/>
        <color theme="1"/>
        <rFont val="Calibri (Body)"/>
      </rPr>
      <t>Det. D. Cappaert 2023</t>
    </r>
  </si>
  <si>
    <r>
      <rPr>
        <b/>
        <sz val="16"/>
        <color theme="1"/>
        <rFont val="Calibri (Body)"/>
      </rPr>
      <t xml:space="preserve">L. cressonii </t>
    </r>
    <r>
      <rPr>
        <b/>
        <sz val="14"/>
        <color theme="1"/>
        <rFont val="Calibri"/>
        <family val="2"/>
        <scheme val="minor"/>
      </rPr>
      <t xml:space="preserve">
</t>
    </r>
    <r>
      <rPr>
        <b/>
        <sz val="12"/>
        <color theme="1"/>
        <rFont val="Calibri (Body)"/>
      </rPr>
      <t>Det. D. Cappaert 2023</t>
    </r>
  </si>
  <si>
    <r>
      <rPr>
        <b/>
        <sz val="16"/>
        <color theme="1"/>
        <rFont val="Calibri (Body)"/>
      </rPr>
      <t xml:space="preserve">L. avalonense </t>
    </r>
    <r>
      <rPr>
        <b/>
        <sz val="14"/>
        <color theme="1"/>
        <rFont val="Calibri"/>
        <family val="2"/>
        <scheme val="minor"/>
      </rPr>
      <t xml:space="preserve">
</t>
    </r>
    <r>
      <rPr>
        <b/>
        <sz val="12"/>
        <color theme="1"/>
        <rFont val="Calibri (Body)"/>
      </rPr>
      <t>Det. D. Cappaert 2023</t>
    </r>
  </si>
  <si>
    <r>
      <rPr>
        <b/>
        <sz val="16"/>
        <color theme="1"/>
        <rFont val="Calibri (Body)"/>
      </rPr>
      <t xml:space="preserve">L. occultum </t>
    </r>
    <r>
      <rPr>
        <b/>
        <sz val="14"/>
        <color theme="1"/>
        <rFont val="Calibri"/>
        <family val="2"/>
        <scheme val="minor"/>
      </rPr>
      <t xml:space="preserve">
</t>
    </r>
    <r>
      <rPr>
        <b/>
        <sz val="12"/>
        <color theme="1"/>
        <rFont val="Calibri (Body)"/>
      </rPr>
      <t>Det. D. Cappaert 2023</t>
    </r>
  </si>
  <si>
    <r>
      <rPr>
        <b/>
        <sz val="16"/>
        <color theme="1"/>
        <rFont val="Calibri (Body)"/>
      </rPr>
      <t xml:space="preserve">L. mesiglab </t>
    </r>
    <r>
      <rPr>
        <b/>
        <sz val="14"/>
        <color theme="1"/>
        <rFont val="Calibri"/>
        <family val="2"/>
        <scheme val="minor"/>
      </rPr>
      <t xml:space="preserve">
</t>
    </r>
    <r>
      <rPr>
        <b/>
        <sz val="12"/>
        <color theme="1"/>
        <rFont val="Calibri (Body)"/>
      </rPr>
      <t>Det. D. Cappaert 2023</t>
    </r>
  </si>
  <si>
    <r>
      <rPr>
        <b/>
        <sz val="16"/>
        <color theme="1"/>
        <rFont val="Calibri (Body)"/>
      </rPr>
      <t>L. villobar</t>
    </r>
    <r>
      <rPr>
        <b/>
        <sz val="14"/>
        <color theme="1"/>
        <rFont val="Calibri"/>
        <family val="2"/>
        <scheme val="minor"/>
      </rPr>
      <t xml:space="preserve">
</t>
    </r>
    <r>
      <rPr>
        <b/>
        <sz val="12"/>
        <color theme="1"/>
        <rFont val="Calibri (Body)"/>
      </rPr>
      <t>Det. D. Cappaert 2023</t>
    </r>
  </si>
  <si>
    <r>
      <rPr>
        <b/>
        <sz val="16"/>
        <color theme="1"/>
        <rFont val="Calibri (Body)"/>
      </rPr>
      <t>L. kincaidii</t>
    </r>
    <r>
      <rPr>
        <b/>
        <sz val="14"/>
        <color theme="1"/>
        <rFont val="Calibri"/>
        <family val="2"/>
        <scheme val="minor"/>
      </rPr>
      <t xml:space="preserve">
</t>
    </r>
    <r>
      <rPr>
        <b/>
        <sz val="12"/>
        <color theme="1"/>
        <rFont val="Calibri (Body)"/>
      </rPr>
      <t>Det. D. Cappaert 2023</t>
    </r>
  </si>
  <si>
    <t>L. cavness</t>
  </si>
  <si>
    <t>Smooth | Light</t>
  </si>
  <si>
    <r>
      <rPr>
        <b/>
        <sz val="16"/>
        <color theme="1"/>
        <rFont val="Calibri (Body)"/>
      </rPr>
      <t>L. cavness</t>
    </r>
    <r>
      <rPr>
        <b/>
        <sz val="14"/>
        <color theme="1"/>
        <rFont val="Calibri"/>
        <family val="2"/>
        <scheme val="minor"/>
      </rPr>
      <t xml:space="preserve">
</t>
    </r>
    <r>
      <rPr>
        <b/>
        <sz val="12"/>
        <color theme="1"/>
        <rFont val="Calibri (Body)"/>
      </rPr>
      <t>Det. D. Cappaert 2023</t>
    </r>
  </si>
  <si>
    <t>On hold</t>
  </si>
  <si>
    <t>#Taxon cavness</t>
  </si>
  <si>
    <t>https://photos.smugmug.com/Misc/n-WzFZFQ/ID-Key-dialictus/i-HXzN37t/0/b9fe6e86/X4/Lasioglossum%2Chead%2Ccavness-X4.jpg</t>
  </si>
  <si>
    <t>https://photos.smugmug.com/Misc/n-WzFZFQ/ID-Key-dialictus/i-Hbmzgm3/0/54fb37b9/X4/Lasioglossum%2Cthorax%2Cmesepisternum%2Ccavness-X4.jpg</t>
  </si>
  <si>
    <t>https://photos.smugmug.com/Misc/n-WzFZFQ/ID-Key-dialictus/i-xfwszNc/0/65ee03bc/X4/Lasioglossum%2Cthorax%2Cpropodeum%2Ccavness-X4.jpg</t>
  </si>
  <si>
    <t>https://photos.smugmug.com/Misc/n-WzFZFQ/ID-Key-dialictus/i-ZCtxMSK/0/8a1dd1d5/X4/Lasioglossum%2Cthorax%2Cscutum%2Ccavness-X4.jpg</t>
  </si>
  <si>
    <t>https://photos.smugmug.com/Misc/n-WzFZFQ/ID-Key-dialictus/i-pMzbprs/0/cd8ce93a/X3/Lasioglossum%2Cthorax%2Cpropodeum%2Cblueink-X3.jpg</t>
  </si>
  <si>
    <t>Dense: Pit spacing about 0.5 diameter</t>
  </si>
  <si>
    <t>Moderate</t>
  </si>
  <si>
    <t>Dense | Moderate</t>
  </si>
  <si>
    <t>https://photos.smugmug.com/Misc/n-WzFZFQ/ID-Key-dialictus/i-FMPPBzm/0/bb89efa6/X4/Lasioglossum%20argemonis%2Cfemale%2Chead-X4.jpg</t>
  </si>
  <si>
    <t>https://photos.smugmug.com/Misc/n-WzFZFQ/ID-Key-dialictus/i-xdShgvd/0/1b74319a/X4/Lasioglossum%2Cthorax%2Cmesepisternum%2Cargemonis-X4.jpg</t>
  </si>
  <si>
    <t>https://photos.smugmug.com/Misc/n-WzFZFQ/ID-Key-dialictus/i-2VVp5RZ/0/ab22e2cc/X4/Lasioglossum%2Chead%2Cblueink%2CIAE109844-X4.jpg</t>
  </si>
  <si>
    <t>Light | Uniform</t>
  </si>
  <si>
    <t>#https://photos.smugmug.com/Misc/n-WzFZFQ/ID-Key-dialictus/i-RgJC3gt/0/9212a626/X4/Lasio%20subgenus%20chart1-X4.jpg</t>
  </si>
  <si>
    <t>https://photos.smugmug.com/Misc/n-WzFZFQ/ID-Key-dialictus/i-4WKNdVn/0/395d5b9b/X3/Lasioglossum%2Cthorax%2Cscutum%2Cmesiglab-X3.jpg</t>
  </si>
  <si>
    <t>The pitting at bottom - by the parapsidal line - is dense. But you would score this as moderate, for the central area.</t>
  </si>
  <si>
    <t>https://photos.smugmug.com/Misc/n-WzFZFQ/ID-Key-dialictus/i-97F5X56/0/639a23aa/X3/Lasioglossum%2Cevylaeus%2Cthorax%2Cscutum%20sparse%20and%20polished%20%2CSW_20170523%2338%2CDeschutes-X3.jpg</t>
  </si>
  <si>
    <t>resources/text/TaxonCavness.html</t>
  </si>
  <si>
    <t>L. hyalinum</t>
  </si>
  <si>
    <t>#Taxon hyalinum</t>
  </si>
  <si>
    <t>https://photos.smugmug.com/Misc/n-WzFZFQ/ID-Key-dialictus/i-9f9cc82/0/2b4f8c55/X4/Lasioglossum%2Chead%2Chyalinum-X4.jpg</t>
  </si>
  <si>
    <t>https://photos.smugmug.com/Misc/n-WzFZFQ/ID-Key-dialictus/i-332cWNh/0/2860c8b2/X4/Lasioglossum%2Cthorax%2Cmesepisternum%2Chyalinum-X4.jpg</t>
  </si>
  <si>
    <t>https://photos.smugmug.com/Misc/n-WzFZFQ/ID-Key-dialictus/i-NqsWMBj/0/313a0765/X3/Lasioglossum%2Cthorax%2Cpropodeum%2Chyalinum-X3.jpg</t>
  </si>
  <si>
    <t>https://photos.smugmug.com/Misc/n-WzFZFQ/ID-Key-dialictus/i-nJP2Dzw/0/0aca5aef/X4/Lasioglossum%2Clateral%2Cintermediate%2Chyalinum-X4.jpg</t>
  </si>
  <si>
    <t>https://photos.smugmug.com/Misc/n-WzFZFQ/ID-Key-dialictus/i-GJZz5pK/0/1d89c34d/X4/Lasioglossum%2Cabdomen%2CT1%20pits%2Chyalinum-X4.jpg</t>
  </si>
  <si>
    <t>resources/text/TaxonHyalinum.html</t>
  </si>
  <si>
    <t>OR</t>
  </si>
  <si>
    <t>WA</t>
  </si>
  <si>
    <t>Oregon</t>
  </si>
  <si>
    <t>Washington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</si>
</sst>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7"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u/>
      <sz val="11"/>
      <color theme="10"/>
      <name val="Calibri"/>
      <family val="2"/>
      <scheme val="minor"/>
    </font>
    <font>
      <sz val="8"/>
      <name val="Calibri"/>
      <family val="2"/>
      <scheme val="minor"/>
    </font>
    <font>
      <i/>
      <sz val="12"/>
      <color theme="1"/>
      <name val="Calibri"/>
      <family val="2"/>
      <scheme val="minor"/>
    </font>
    <font>
      <sz val="14"/>
      <color rgb="FF000000"/>
      <name val="Arial"/>
      <family val="2"/>
    </font>
    <font>
      <sz val="12"/>
      <color rgb="FFFF0000"/>
      <name val="Calibri"/>
      <family val="2"/>
      <scheme val="minor"/>
    </font>
    <font>
      <sz val="11"/>
      <color rgb="FF000000"/>
      <name val="Calibri"/>
      <family val="2"/>
    </font>
    <font>
      <sz val="14"/>
      <color theme="1"/>
      <name val="Calibri"/>
      <family val="2"/>
      <scheme val="minor"/>
    </font>
    <font>
      <b/>
      <sz val="14"/>
      <color theme="1"/>
      <name val="Calibri"/>
      <family val="2"/>
      <scheme val="minor"/>
    </font>
    <font>
      <b/>
      <sz val="16"/>
      <color theme="1"/>
      <name val="Calibri"/>
      <family val="2"/>
      <scheme val="minor"/>
    </font>
    <font>
      <b/>
      <sz val="16"/>
      <color theme="1"/>
      <name val="Calibri"/>
      <family val="2"/>
    </font>
    <font>
      <sz val="12"/>
      <color theme="0"/>
      <name val="Calibri"/>
      <family val="2"/>
      <scheme val="minor"/>
    </font>
    <font>
      <b/>
      <sz val="16"/>
      <color theme="4" tint="-0.499984740745262"/>
      <name val="Calibri (Body)"/>
    </font>
    <font>
      <sz val="12"/>
      <color theme="4" tint="-0.499984740745262"/>
      <name val="Calibri (Body)"/>
    </font>
    <font>
      <i/>
      <sz val="12"/>
      <color rgb="FFFF0000"/>
      <name val="Calibri"/>
      <family val="2"/>
      <scheme val="minor"/>
    </font>
    <font>
      <sz val="12"/>
      <color rgb="FFFF0000"/>
      <name val="Calibri (Body)"/>
    </font>
    <font>
      <sz val="14"/>
      <color theme="1"/>
      <name val="Arial"/>
      <family val="2"/>
    </font>
    <font>
      <u/>
      <sz val="11"/>
      <color theme="1"/>
      <name val="Calibri"/>
      <family val="2"/>
      <scheme val="minor"/>
    </font>
    <font>
      <sz val="14"/>
      <color theme="1"/>
      <name val="Trebuchet MS"/>
      <family val="2"/>
    </font>
    <font>
      <b/>
      <sz val="16"/>
      <color theme="1"/>
      <name val="Calibri (Body)"/>
    </font>
    <font>
      <b/>
      <sz val="12"/>
      <color theme="1"/>
      <name val="Calibri (Body)"/>
    </font>
    <font>
      <u/>
      <sz val="12"/>
      <color theme="4" tint="-0.499984740745262"/>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45">
    <xf numFmtId="0" fontId="0" fillId="0" borderId="0"/>
    <xf numFmtId="0" fontId="19" fillId="0" borderId="0" applyNumberFormat="0" applyFill="0" applyBorder="0" applyAlignment="0" applyProtection="0"/>
    <xf numFmtId="0" fontId="20" fillId="0" borderId="1" applyNumberFormat="0" applyFill="0" applyAlignment="0" applyProtection="0"/>
    <xf numFmtId="0" fontId="21" fillId="0" borderId="2" applyNumberFormat="0" applyFill="0" applyAlignment="0" applyProtection="0"/>
    <xf numFmtId="0" fontId="22" fillId="0" borderId="3" applyNumberFormat="0" applyFill="0" applyAlignment="0" applyProtection="0"/>
    <xf numFmtId="0" fontId="22" fillId="0" borderId="0" applyNumberFormat="0" applyFill="0" applyBorder="0" applyAlignment="0" applyProtection="0"/>
    <xf numFmtId="0" fontId="23" fillId="2" borderId="0" applyNumberFormat="0" applyBorder="0" applyAlignment="0" applyProtection="0"/>
    <xf numFmtId="0" fontId="24" fillId="3" borderId="0" applyNumberFormat="0" applyBorder="0" applyAlignment="0" applyProtection="0"/>
    <xf numFmtId="0" fontId="25" fillId="4" borderId="0" applyNumberFormat="0" applyBorder="0" applyAlignment="0" applyProtection="0"/>
    <xf numFmtId="0" fontId="26" fillId="5" borderId="4" applyNumberFormat="0" applyAlignment="0" applyProtection="0"/>
    <xf numFmtId="0" fontId="27" fillId="6" borderId="5" applyNumberFormat="0" applyAlignment="0" applyProtection="0"/>
    <xf numFmtId="0" fontId="28" fillId="6" borderId="4" applyNumberFormat="0" applyAlignment="0" applyProtection="0"/>
    <xf numFmtId="0" fontId="29" fillId="0" borderId="6" applyNumberFormat="0" applyFill="0" applyAlignment="0" applyProtection="0"/>
    <xf numFmtId="0" fontId="30" fillId="7" borderId="7" applyNumberFormat="0" applyAlignment="0" applyProtection="0"/>
    <xf numFmtId="0" fontId="31" fillId="0" borderId="0" applyNumberFormat="0" applyFill="0" applyBorder="0" applyAlignment="0" applyProtection="0"/>
    <xf numFmtId="0" fontId="18" fillId="8" borderId="8" applyNumberFormat="0" applyFont="0" applyAlignment="0" applyProtection="0"/>
    <xf numFmtId="0" fontId="32" fillId="0" borderId="0" applyNumberFormat="0" applyFill="0" applyBorder="0" applyAlignment="0" applyProtection="0"/>
    <xf numFmtId="0" fontId="33" fillId="0" borderId="9" applyNumberFormat="0" applyFill="0" applyAlignment="0" applyProtection="0"/>
    <xf numFmtId="0" fontId="34" fillId="9" borderId="0" applyNumberFormat="0" applyBorder="0" applyAlignment="0" applyProtection="0"/>
    <xf numFmtId="0" fontId="18" fillId="10" borderId="0" applyNumberFormat="0" applyBorder="0" applyAlignment="0" applyProtection="0"/>
    <xf numFmtId="0" fontId="18" fillId="11" borderId="0" applyNumberFormat="0" applyBorder="0" applyAlignment="0" applyProtection="0"/>
    <xf numFmtId="0" fontId="34" fillId="12" borderId="0" applyNumberFormat="0" applyBorder="0" applyAlignment="0" applyProtection="0"/>
    <xf numFmtId="0" fontId="34"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18" fillId="18" borderId="0" applyNumberFormat="0" applyBorder="0" applyAlignment="0" applyProtection="0"/>
    <xf numFmtId="0" fontId="18"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18" fillId="26" borderId="0" applyNumberFormat="0" applyBorder="0" applyAlignment="0" applyProtection="0"/>
    <xf numFmtId="0" fontId="18"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18" fillId="30" borderId="0" applyNumberFormat="0" applyBorder="0" applyAlignment="0" applyProtection="0"/>
    <xf numFmtId="0" fontId="18" fillId="31" borderId="0" applyNumberFormat="0" applyBorder="0" applyAlignment="0" applyProtection="0"/>
    <xf numFmtId="0" fontId="34" fillId="32" borderId="0" applyNumberFormat="0" applyBorder="0" applyAlignment="0" applyProtection="0"/>
    <xf numFmtId="0" fontId="35" fillId="0" borderId="0"/>
    <xf numFmtId="0" fontId="36" fillId="0" borderId="0" applyNumberFormat="0" applyFill="0" applyBorder="0" applyAlignment="0" applyProtection="0"/>
    <xf numFmtId="0" fontId="8" fillId="0" borderId="0"/>
  </cellStyleXfs>
  <cellXfs count="63">
    <xf numFmtId="0" fontId="0" fillId="0" borderId="0" xfId="0"/>
    <xf numFmtId="0" fontId="33" fillId="0" borderId="0" xfId="0" applyFont="1"/>
    <xf numFmtId="49" fontId="0" fillId="0" borderId="0" xfId="0" applyNumberFormat="1" applyAlignment="1">
      <alignment wrapText="1"/>
    </xf>
    <xf numFmtId="49" fontId="0" fillId="0" borderId="0" xfId="0" applyNumberFormat="1"/>
    <xf numFmtId="0" fontId="0" fillId="0" borderId="0" xfId="0" applyAlignment="1">
      <alignment horizontal="left" vertical="top" wrapText="1"/>
    </xf>
    <xf numFmtId="0" fontId="17" fillId="0" borderId="0" xfId="0" applyFont="1"/>
    <xf numFmtId="0" fontId="16" fillId="0" borderId="0" xfId="0" applyFont="1"/>
    <xf numFmtId="14" fontId="16" fillId="0" borderId="0" xfId="0" applyNumberFormat="1" applyFont="1"/>
    <xf numFmtId="0" fontId="15" fillId="0" borderId="0" xfId="0" applyFont="1"/>
    <xf numFmtId="0" fontId="14" fillId="0" borderId="0" xfId="0" applyFont="1"/>
    <xf numFmtId="0" fontId="13" fillId="0" borderId="0" xfId="0" applyFont="1"/>
    <xf numFmtId="0" fontId="38" fillId="0" borderId="0" xfId="0" applyFont="1"/>
    <xf numFmtId="0" fontId="39" fillId="0" borderId="0" xfId="0" applyFont="1"/>
    <xf numFmtId="0" fontId="40" fillId="0" borderId="0" xfId="0" applyFont="1"/>
    <xf numFmtId="0" fontId="12" fillId="0" borderId="0" xfId="0" applyFont="1"/>
    <xf numFmtId="0" fontId="11" fillId="0" borderId="0" xfId="0" applyFont="1"/>
    <xf numFmtId="0" fontId="10" fillId="0" borderId="0" xfId="0" applyFont="1"/>
    <xf numFmtId="0" fontId="9" fillId="0" borderId="0" xfId="0" applyFont="1"/>
    <xf numFmtId="0" fontId="8" fillId="0" borderId="0" xfId="0" applyFont="1"/>
    <xf numFmtId="0" fontId="8" fillId="0" borderId="0" xfId="44"/>
    <xf numFmtId="9" fontId="8" fillId="0" borderId="0" xfId="44" applyNumberFormat="1"/>
    <xf numFmtId="0" fontId="7" fillId="0" borderId="0" xfId="0" applyFont="1"/>
    <xf numFmtId="0" fontId="7" fillId="0" borderId="0" xfId="44" applyFont="1"/>
    <xf numFmtId="0" fontId="40" fillId="0" borderId="0" xfId="44" applyFont="1"/>
    <xf numFmtId="0" fontId="6" fillId="0" borderId="0" xfId="44" applyFont="1"/>
    <xf numFmtId="0" fontId="6" fillId="0" borderId="0" xfId="0" applyFont="1"/>
    <xf numFmtId="0" fontId="43" fillId="0" borderId="10" xfId="0" applyFont="1" applyBorder="1"/>
    <xf numFmtId="0" fontId="42" fillId="0" borderId="10" xfId="0" applyFont="1" applyBorder="1"/>
    <xf numFmtId="0" fontId="5" fillId="0" borderId="0" xfId="0" applyFont="1"/>
    <xf numFmtId="0" fontId="5" fillId="0" borderId="0" xfId="44" applyFont="1"/>
    <xf numFmtId="0" fontId="44" fillId="0" borderId="0" xfId="44" applyFont="1"/>
    <xf numFmtId="0" fontId="45" fillId="0" borderId="0" xfId="44" applyFont="1"/>
    <xf numFmtId="0" fontId="46" fillId="33" borderId="0" xfId="44" applyFont="1" applyFill="1"/>
    <xf numFmtId="0" fontId="47" fillId="0" borderId="0" xfId="44" applyFont="1"/>
    <xf numFmtId="0" fontId="48" fillId="0" borderId="0" xfId="44" applyFont="1"/>
    <xf numFmtId="9" fontId="48" fillId="0" borderId="0" xfId="44" applyNumberFormat="1" applyFont="1"/>
    <xf numFmtId="9" fontId="5" fillId="0" borderId="0" xfId="44" applyNumberFormat="1" applyFont="1"/>
    <xf numFmtId="0" fontId="44" fillId="0" borderId="0" xfId="0" applyFont="1"/>
    <xf numFmtId="0" fontId="45" fillId="0" borderId="0" xfId="0" applyFont="1"/>
    <xf numFmtId="0" fontId="49" fillId="0" borderId="0" xfId="0" applyFont="1"/>
    <xf numFmtId="0" fontId="31" fillId="0" borderId="0" xfId="0" applyFont="1"/>
    <xf numFmtId="0" fontId="4" fillId="0" borderId="0" xfId="0" applyFont="1"/>
    <xf numFmtId="9" fontId="40" fillId="0" borderId="0" xfId="44" applyNumberFormat="1" applyFont="1"/>
    <xf numFmtId="0" fontId="4" fillId="0" borderId="0" xfId="44" applyFont="1"/>
    <xf numFmtId="0" fontId="50" fillId="0" borderId="0" xfId="44" applyFont="1"/>
    <xf numFmtId="9" fontId="40" fillId="0" borderId="0" xfId="0" applyNumberFormat="1" applyFont="1"/>
    <xf numFmtId="0" fontId="3" fillId="0" borderId="0" xfId="44" applyFont="1"/>
    <xf numFmtId="0" fontId="3" fillId="0" borderId="0" xfId="0" applyFont="1"/>
    <xf numFmtId="0" fontId="51" fillId="0" borderId="0" xfId="0" applyFont="1"/>
    <xf numFmtId="9" fontId="51" fillId="0" borderId="0" xfId="0" applyNumberFormat="1" applyFont="1"/>
    <xf numFmtId="0" fontId="52" fillId="0" borderId="0" xfId="43" applyFont="1"/>
    <xf numFmtId="0" fontId="53" fillId="0" borderId="0" xfId="0" applyFont="1"/>
    <xf numFmtId="0" fontId="2" fillId="0" borderId="0" xfId="44" applyFont="1"/>
    <xf numFmtId="0" fontId="2" fillId="0" borderId="0" xfId="0" applyFont="1"/>
    <xf numFmtId="0" fontId="0" fillId="0" borderId="0" xfId="0" applyAlignment="1">
      <alignment horizontal="left" wrapText="1"/>
    </xf>
    <xf numFmtId="0" fontId="0" fillId="0" borderId="0" xfId="0" applyAlignment="1">
      <alignment horizontal="left" vertical="top" wrapText="1"/>
    </xf>
    <xf numFmtId="0" fontId="36" fillId="0" borderId="0" xfId="43" applyAlignment="1">
      <alignment horizontal="left" vertical="top" wrapText="1"/>
    </xf>
    <xf numFmtId="0" fontId="0" fillId="0" borderId="0" xfId="0" applyFont="1"/>
    <xf numFmtId="0" fontId="1" fillId="0" borderId="0" xfId="0" applyFont="1"/>
    <xf numFmtId="0" fontId="1" fillId="0" borderId="0" xfId="44" applyFont="1"/>
    <xf numFmtId="0" fontId="43" fillId="0" borderId="10" xfId="0" applyFont="1" applyBorder="1" applyAlignment="1">
      <alignment wrapText="1"/>
    </xf>
    <xf numFmtId="0" fontId="54" fillId="0" borderId="10" xfId="0" applyFont="1" applyBorder="1" applyAlignment="1">
      <alignment wrapText="1"/>
    </xf>
    <xf numFmtId="0" fontId="56" fillId="0" borderId="0" xfId="44" applyFont="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3" builtinId="8"/>
    <cellStyle name="Input" xfId="9" builtinId="20" customBuiltin="1"/>
    <cellStyle name="Linked Cell" xfId="12" builtinId="24" customBuiltin="1"/>
    <cellStyle name="Neutral" xfId="8" builtinId="28" customBuiltin="1"/>
    <cellStyle name="Normal" xfId="0" builtinId="0"/>
    <cellStyle name="Normal 2" xfId="42" xr:uid="{00000000-0005-0000-0000-000026000000}"/>
    <cellStyle name="Normal 3" xfId="44" xr:uid="{C3654CFA-97B5-CB49-A8A9-AD111D86B2D1}"/>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delete val="1"/>
          </c:dLbls>
          <c:cat>
            <c:strRef>
              <c:f>Notes!$E$56:$E$71</c:f>
              <c:strCache>
                <c:ptCount val="16"/>
                <c:pt idx="0">
                  <c:v>Taxon</c:v>
                </c:pt>
                <c:pt idx="1">
                  <c:v>L. incompletum</c:v>
                </c:pt>
                <c:pt idx="2">
                  <c:v>L. blueink</c:v>
                </c:pt>
                <c:pt idx="3">
                  <c:v>L. occultum</c:v>
                </c:pt>
                <c:pt idx="4">
                  <c:v>L. albipenne</c:v>
                </c:pt>
                <c:pt idx="5">
                  <c:v>L. villosulum</c:v>
                </c:pt>
                <c:pt idx="6">
                  <c:v>L. cressonii</c:v>
                </c:pt>
                <c:pt idx="7">
                  <c:v>L. mesiglab</c:v>
                </c:pt>
                <c:pt idx="8">
                  <c:v>L. ruidosense</c:v>
                </c:pt>
                <c:pt idx="9">
                  <c:v>L. villobar</c:v>
                </c:pt>
                <c:pt idx="10">
                  <c:v>L. kincaidii</c:v>
                </c:pt>
                <c:pt idx="11">
                  <c:v>L. avalonense</c:v>
                </c:pt>
                <c:pt idx="12">
                  <c:v>L. v</c:v>
                </c:pt>
                <c:pt idx="13">
                  <c:v>L. hyalinum</c:v>
                </c:pt>
                <c:pt idx="14">
                  <c:v>L. argemonis</c:v>
                </c:pt>
                <c:pt idx="15">
                  <c:v>L. cavness</c:v>
                </c:pt>
              </c:strCache>
            </c:strRef>
          </c:cat>
          <c:val>
            <c:numRef>
              <c:f>Notes!$F$56:$F$71</c:f>
              <c:numCache>
                <c:formatCode>General</c:formatCode>
                <c:ptCount val="16"/>
                <c:pt idx="0">
                  <c:v>0</c:v>
                </c:pt>
                <c:pt idx="1">
                  <c:v>0.47408343868520858</c:v>
                </c:pt>
                <c:pt idx="2">
                  <c:v>0.17699115044247787</c:v>
                </c:pt>
                <c:pt idx="3">
                  <c:v>0.16434892541087232</c:v>
                </c:pt>
                <c:pt idx="4">
                  <c:v>7.5853350189633378E-2</c:v>
                </c:pt>
                <c:pt idx="5">
                  <c:v>6.3211125158027806E-2</c:v>
                </c:pt>
                <c:pt idx="6">
                  <c:v>1.2642225031605562E-2</c:v>
                </c:pt>
                <c:pt idx="7">
                  <c:v>1.0113780025284451E-2</c:v>
                </c:pt>
                <c:pt idx="8">
                  <c:v>7.5853350189633373E-3</c:v>
                </c:pt>
                <c:pt idx="9">
                  <c:v>6.321112515802781E-3</c:v>
                </c:pt>
                <c:pt idx="10">
                  <c:v>3.7926675094816687E-3</c:v>
                </c:pt>
                <c:pt idx="11">
                  <c:v>2.5284450063211127E-3</c:v>
                </c:pt>
                <c:pt idx="12">
                  <c:v>1.2642225031605564E-3</c:v>
                </c:pt>
                <c:pt idx="13">
                  <c:v>1.2642225031605564E-3</c:v>
                </c:pt>
                <c:pt idx="14">
                  <c:v>0</c:v>
                </c:pt>
                <c:pt idx="15">
                  <c:v>0</c:v>
                </c:pt>
              </c:numCache>
            </c:numRef>
          </c:val>
          <c:extLst>
            <c:ext xmlns:c16="http://schemas.microsoft.com/office/drawing/2014/chart" uri="{C3380CC4-5D6E-409C-BE32-E72D297353CC}">
              <c16:uniqueId val="{00000000-94CE-3E41-9E95-60A419656822}"/>
            </c:ext>
          </c:extLst>
        </c:ser>
        <c:ser>
          <c:idx val="1"/>
          <c:order val="1"/>
          <c:spPr>
            <a:solidFill>
              <a:schemeClr val="accent2"/>
            </a:solidFill>
            <a:ln>
              <a:noFill/>
            </a:ln>
            <a:effectLst/>
          </c:spPr>
          <c:invertIfNegative val="0"/>
          <c:dLbls>
            <c:delete val="1"/>
          </c:dLbls>
          <c:cat>
            <c:strRef>
              <c:f>Notes!$E$56:$E$71</c:f>
              <c:strCache>
                <c:ptCount val="16"/>
                <c:pt idx="0">
                  <c:v>Taxon</c:v>
                </c:pt>
                <c:pt idx="1">
                  <c:v>L. incompletum</c:v>
                </c:pt>
                <c:pt idx="2">
                  <c:v>L. blueink</c:v>
                </c:pt>
                <c:pt idx="3">
                  <c:v>L. occultum</c:v>
                </c:pt>
                <c:pt idx="4">
                  <c:v>L. albipenne</c:v>
                </c:pt>
                <c:pt idx="5">
                  <c:v>L. villosulum</c:v>
                </c:pt>
                <c:pt idx="6">
                  <c:v>L. cressonii</c:v>
                </c:pt>
                <c:pt idx="7">
                  <c:v>L. mesiglab</c:v>
                </c:pt>
                <c:pt idx="8">
                  <c:v>L. ruidosense</c:v>
                </c:pt>
                <c:pt idx="9">
                  <c:v>L. villobar</c:v>
                </c:pt>
                <c:pt idx="10">
                  <c:v>L. kincaidii</c:v>
                </c:pt>
                <c:pt idx="11">
                  <c:v>L. avalonense</c:v>
                </c:pt>
                <c:pt idx="12">
                  <c:v>L. v</c:v>
                </c:pt>
                <c:pt idx="13">
                  <c:v>L. hyalinum</c:v>
                </c:pt>
                <c:pt idx="14">
                  <c:v>L. argemonis</c:v>
                </c:pt>
                <c:pt idx="15">
                  <c:v>L. cavness</c:v>
                </c:pt>
              </c:strCache>
            </c:strRef>
          </c:cat>
          <c:val>
            <c:numRef>
              <c:f>Notes!$G$56:$G$71</c:f>
              <c:numCache>
                <c:formatCode>General</c:formatCode>
                <c:ptCount val="16"/>
                <c:pt idx="0">
                  <c:v>0</c:v>
                </c:pt>
                <c:pt idx="1">
                  <c:v>0.12903225806451613</c:v>
                </c:pt>
                <c:pt idx="2">
                  <c:v>0.16129032258064516</c:v>
                </c:pt>
                <c:pt idx="3">
                  <c:v>9.6774193548387094E-2</c:v>
                </c:pt>
                <c:pt idx="4">
                  <c:v>6.4516129032258063E-2</c:v>
                </c:pt>
                <c:pt idx="5">
                  <c:v>0.20967741935483872</c:v>
                </c:pt>
                <c:pt idx="6">
                  <c:v>8.0645161290322578E-2</c:v>
                </c:pt>
                <c:pt idx="7">
                  <c:v>3.2258064516129031E-2</c:v>
                </c:pt>
                <c:pt idx="8">
                  <c:v>0.14516129032258066</c:v>
                </c:pt>
                <c:pt idx="9">
                  <c:v>0</c:v>
                </c:pt>
                <c:pt idx="10">
                  <c:v>1.6129032258064516E-2</c:v>
                </c:pt>
                <c:pt idx="11">
                  <c:v>0</c:v>
                </c:pt>
                <c:pt idx="12">
                  <c:v>0</c:v>
                </c:pt>
                <c:pt idx="13">
                  <c:v>0</c:v>
                </c:pt>
                <c:pt idx="14">
                  <c:v>3.2258064516129031E-2</c:v>
                </c:pt>
                <c:pt idx="15">
                  <c:v>3.2258064516129031E-2</c:v>
                </c:pt>
              </c:numCache>
            </c:numRef>
          </c:val>
          <c:extLst>
            <c:ext xmlns:c16="http://schemas.microsoft.com/office/drawing/2014/chart" uri="{C3380CC4-5D6E-409C-BE32-E72D297353CC}">
              <c16:uniqueId val="{00000001-94CE-3E41-9E95-60A419656822}"/>
            </c:ext>
          </c:extLst>
        </c:ser>
        <c:dLbls>
          <c:dLblPos val="inEnd"/>
          <c:showLegendKey val="0"/>
          <c:showVal val="1"/>
          <c:showCatName val="0"/>
          <c:showSerName val="0"/>
          <c:showPercent val="0"/>
          <c:showBubbleSize val="0"/>
        </c:dLbls>
        <c:gapWidth val="219"/>
        <c:overlap val="-27"/>
        <c:axId val="85150928"/>
        <c:axId val="85152576"/>
      </c:barChart>
      <c:catAx>
        <c:axId val="8515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52576"/>
        <c:crosses val="autoZero"/>
        <c:auto val="1"/>
        <c:lblAlgn val="ctr"/>
        <c:lblOffset val="100"/>
        <c:noMultiLvlLbl val="0"/>
      </c:catAx>
      <c:valAx>
        <c:axId val="85152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50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Lasioglossum sensu</a:t>
            </a:r>
            <a:r>
              <a:rPr lang="en-US" baseline="0"/>
              <a:t> lato - species distribution Mar 1 2023</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Notes!$F$56</c:f>
              <c:strCache>
                <c:ptCount val="1"/>
                <c:pt idx="0">
                  <c:v>Oregon</c:v>
                </c:pt>
              </c:strCache>
            </c:strRef>
          </c:tx>
          <c:spPr>
            <a:solidFill>
              <a:schemeClr val="accent1"/>
            </a:solidFill>
            <a:ln>
              <a:noFill/>
            </a:ln>
            <a:effectLst/>
          </c:spPr>
          <c:invertIfNegative val="0"/>
          <c:cat>
            <c:strRef>
              <c:f>Notes!$E$57:$E$71</c:f>
              <c:strCache>
                <c:ptCount val="15"/>
                <c:pt idx="0">
                  <c:v>L. incompletum</c:v>
                </c:pt>
                <c:pt idx="1">
                  <c:v>L. blueink</c:v>
                </c:pt>
                <c:pt idx="2">
                  <c:v>L. occultum</c:v>
                </c:pt>
                <c:pt idx="3">
                  <c:v>L. albipenne</c:v>
                </c:pt>
                <c:pt idx="4">
                  <c:v>L. villosulum</c:v>
                </c:pt>
                <c:pt idx="5">
                  <c:v>L. cressonii</c:v>
                </c:pt>
                <c:pt idx="6">
                  <c:v>L. mesiglab</c:v>
                </c:pt>
                <c:pt idx="7">
                  <c:v>L. ruidosense</c:v>
                </c:pt>
                <c:pt idx="8">
                  <c:v>L. villobar</c:v>
                </c:pt>
                <c:pt idx="9">
                  <c:v>L. kincaidii</c:v>
                </c:pt>
                <c:pt idx="10">
                  <c:v>L. avalonense</c:v>
                </c:pt>
                <c:pt idx="11">
                  <c:v>L. v</c:v>
                </c:pt>
                <c:pt idx="12">
                  <c:v>L. hyalinum</c:v>
                </c:pt>
                <c:pt idx="13">
                  <c:v>L. argemonis</c:v>
                </c:pt>
                <c:pt idx="14">
                  <c:v>L. cavness</c:v>
                </c:pt>
              </c:strCache>
            </c:strRef>
          </c:cat>
          <c:val>
            <c:numRef>
              <c:f>Notes!$F$57:$F$71</c:f>
              <c:numCache>
                <c:formatCode>General</c:formatCode>
                <c:ptCount val="15"/>
                <c:pt idx="0">
                  <c:v>0.47408343868520858</c:v>
                </c:pt>
                <c:pt idx="1">
                  <c:v>0.17699115044247787</c:v>
                </c:pt>
                <c:pt idx="2">
                  <c:v>0.16434892541087232</c:v>
                </c:pt>
                <c:pt idx="3">
                  <c:v>7.5853350189633378E-2</c:v>
                </c:pt>
                <c:pt idx="4">
                  <c:v>6.3211125158027806E-2</c:v>
                </c:pt>
                <c:pt idx="5">
                  <c:v>1.2642225031605562E-2</c:v>
                </c:pt>
                <c:pt idx="6">
                  <c:v>1.0113780025284451E-2</c:v>
                </c:pt>
                <c:pt idx="7">
                  <c:v>7.5853350189633373E-3</c:v>
                </c:pt>
                <c:pt idx="8">
                  <c:v>6.321112515802781E-3</c:v>
                </c:pt>
                <c:pt idx="9">
                  <c:v>3.7926675094816687E-3</c:v>
                </c:pt>
                <c:pt idx="10">
                  <c:v>2.5284450063211127E-3</c:v>
                </c:pt>
                <c:pt idx="11">
                  <c:v>1.2642225031605564E-3</c:v>
                </c:pt>
                <c:pt idx="12">
                  <c:v>1.2642225031605564E-3</c:v>
                </c:pt>
                <c:pt idx="13">
                  <c:v>0</c:v>
                </c:pt>
                <c:pt idx="14">
                  <c:v>0</c:v>
                </c:pt>
              </c:numCache>
            </c:numRef>
          </c:val>
          <c:extLst>
            <c:ext xmlns:c16="http://schemas.microsoft.com/office/drawing/2014/chart" uri="{C3380CC4-5D6E-409C-BE32-E72D297353CC}">
              <c16:uniqueId val="{00000000-A65F-0B43-A3D3-66523B3A309B}"/>
            </c:ext>
          </c:extLst>
        </c:ser>
        <c:ser>
          <c:idx val="1"/>
          <c:order val="1"/>
          <c:tx>
            <c:strRef>
              <c:f>Notes!$G$56</c:f>
              <c:strCache>
                <c:ptCount val="1"/>
                <c:pt idx="0">
                  <c:v>Washington</c:v>
                </c:pt>
              </c:strCache>
            </c:strRef>
          </c:tx>
          <c:spPr>
            <a:solidFill>
              <a:schemeClr val="accent2"/>
            </a:solidFill>
            <a:ln>
              <a:noFill/>
            </a:ln>
            <a:effectLst/>
          </c:spPr>
          <c:invertIfNegative val="0"/>
          <c:cat>
            <c:strRef>
              <c:f>Notes!$E$57:$E$71</c:f>
              <c:strCache>
                <c:ptCount val="15"/>
                <c:pt idx="0">
                  <c:v>L. incompletum</c:v>
                </c:pt>
                <c:pt idx="1">
                  <c:v>L. blueink</c:v>
                </c:pt>
                <c:pt idx="2">
                  <c:v>L. occultum</c:v>
                </c:pt>
                <c:pt idx="3">
                  <c:v>L. albipenne</c:v>
                </c:pt>
                <c:pt idx="4">
                  <c:v>L. villosulum</c:v>
                </c:pt>
                <c:pt idx="5">
                  <c:v>L. cressonii</c:v>
                </c:pt>
                <c:pt idx="6">
                  <c:v>L. mesiglab</c:v>
                </c:pt>
                <c:pt idx="7">
                  <c:v>L. ruidosense</c:v>
                </c:pt>
                <c:pt idx="8">
                  <c:v>L. villobar</c:v>
                </c:pt>
                <c:pt idx="9">
                  <c:v>L. kincaidii</c:v>
                </c:pt>
                <c:pt idx="10">
                  <c:v>L. avalonense</c:v>
                </c:pt>
                <c:pt idx="11">
                  <c:v>L. v</c:v>
                </c:pt>
                <c:pt idx="12">
                  <c:v>L. hyalinum</c:v>
                </c:pt>
                <c:pt idx="13">
                  <c:v>L. argemonis</c:v>
                </c:pt>
                <c:pt idx="14">
                  <c:v>L. cavness</c:v>
                </c:pt>
              </c:strCache>
            </c:strRef>
          </c:cat>
          <c:val>
            <c:numRef>
              <c:f>Notes!$G$57:$G$71</c:f>
              <c:numCache>
                <c:formatCode>General</c:formatCode>
                <c:ptCount val="15"/>
                <c:pt idx="0">
                  <c:v>0.12903225806451613</c:v>
                </c:pt>
                <c:pt idx="1">
                  <c:v>0.16129032258064516</c:v>
                </c:pt>
                <c:pt idx="2">
                  <c:v>9.6774193548387094E-2</c:v>
                </c:pt>
                <c:pt idx="3">
                  <c:v>6.4516129032258063E-2</c:v>
                </c:pt>
                <c:pt idx="4">
                  <c:v>0.20967741935483872</c:v>
                </c:pt>
                <c:pt idx="5">
                  <c:v>8.0645161290322578E-2</c:v>
                </c:pt>
                <c:pt idx="6">
                  <c:v>3.2258064516129031E-2</c:v>
                </c:pt>
                <c:pt idx="7">
                  <c:v>0.14516129032258066</c:v>
                </c:pt>
                <c:pt idx="8">
                  <c:v>0</c:v>
                </c:pt>
                <c:pt idx="9">
                  <c:v>1.6129032258064516E-2</c:v>
                </c:pt>
                <c:pt idx="10">
                  <c:v>0</c:v>
                </c:pt>
                <c:pt idx="11">
                  <c:v>0</c:v>
                </c:pt>
                <c:pt idx="12">
                  <c:v>0</c:v>
                </c:pt>
                <c:pt idx="13">
                  <c:v>3.2258064516129031E-2</c:v>
                </c:pt>
                <c:pt idx="14">
                  <c:v>3.2258064516129031E-2</c:v>
                </c:pt>
              </c:numCache>
            </c:numRef>
          </c:val>
          <c:extLst>
            <c:ext xmlns:c16="http://schemas.microsoft.com/office/drawing/2014/chart" uri="{C3380CC4-5D6E-409C-BE32-E72D297353CC}">
              <c16:uniqueId val="{00000001-A65F-0B43-A3D3-66523B3A309B}"/>
            </c:ext>
          </c:extLst>
        </c:ser>
        <c:dLbls>
          <c:showLegendKey val="0"/>
          <c:showVal val="0"/>
          <c:showCatName val="0"/>
          <c:showSerName val="0"/>
          <c:showPercent val="0"/>
          <c:showBubbleSize val="0"/>
        </c:dLbls>
        <c:gapWidth val="219"/>
        <c:overlap val="-27"/>
        <c:axId val="355724480"/>
        <c:axId val="1284549295"/>
      </c:barChart>
      <c:catAx>
        <c:axId val="35572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549295"/>
        <c:crosses val="autoZero"/>
        <c:auto val="1"/>
        <c:lblAlgn val="ctr"/>
        <c:lblOffset val="100"/>
        <c:noMultiLvlLbl val="0"/>
      </c:catAx>
      <c:valAx>
        <c:axId val="12845492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724480"/>
        <c:crosses val="autoZero"/>
        <c:crossBetween val="between"/>
      </c:valAx>
      <c:spPr>
        <a:noFill/>
        <a:ln>
          <a:noFill/>
        </a:ln>
        <a:effectLst/>
      </c:spPr>
    </c:plotArea>
    <c:legend>
      <c:legendPos val="b"/>
      <c:layout>
        <c:manualLayout>
          <c:xMode val="edge"/>
          <c:yMode val="edge"/>
          <c:x val="0.49252916699572136"/>
          <c:y val="0.28415385068914573"/>
          <c:w val="0.28416500677016837"/>
          <c:h val="6.023191284677109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7</xdr:row>
          <xdr:rowOff>0</xdr:rowOff>
        </xdr:from>
        <xdr:to>
          <xdr:col>2</xdr:col>
          <xdr:colOff>520700</xdr:colOff>
          <xdr:row>8</xdr:row>
          <xdr:rowOff>177800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Save worksheets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4</xdr:row>
          <xdr:rowOff>177800</xdr:rowOff>
        </xdr:from>
        <xdr:to>
          <xdr:col>2</xdr:col>
          <xdr:colOff>508000</xdr:colOff>
          <xdr:row>5</xdr:row>
          <xdr:rowOff>330200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Get max and min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3</xdr:row>
          <xdr:rowOff>12700</xdr:rowOff>
        </xdr:from>
        <xdr:to>
          <xdr:col>2</xdr:col>
          <xdr:colOff>520700</xdr:colOff>
          <xdr:row>3</xdr:row>
          <xdr:rowOff>368300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Get unique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1435100</xdr:colOff>
      <xdr:row>48</xdr:row>
      <xdr:rowOff>323850</xdr:rowOff>
    </xdr:from>
    <xdr:to>
      <xdr:col>12</xdr:col>
      <xdr:colOff>114300</xdr:colOff>
      <xdr:row>54</xdr:row>
      <xdr:rowOff>412750</xdr:rowOff>
    </xdr:to>
    <xdr:graphicFrame macro="">
      <xdr:nvGraphicFramePr>
        <xdr:cNvPr id="3" name="Chart 2">
          <a:extLst>
            <a:ext uri="{FF2B5EF4-FFF2-40B4-BE49-F238E27FC236}">
              <a16:creationId xmlns:a16="http://schemas.microsoft.com/office/drawing/2014/main" id="{70EF52D7-6332-3C58-A038-FA9C2A11AB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1123951</xdr:colOff>
      <xdr:row>49</xdr:row>
      <xdr:rowOff>323850</xdr:rowOff>
    </xdr:from>
    <xdr:to>
      <xdr:col>9</xdr:col>
      <xdr:colOff>475108</xdr:colOff>
      <xdr:row>58</xdr:row>
      <xdr:rowOff>173597</xdr:rowOff>
    </xdr:to>
    <xdr:graphicFrame macro="">
      <xdr:nvGraphicFramePr>
        <xdr:cNvPr id="4" name="Chart 3">
          <a:extLst>
            <a:ext uri="{FF2B5EF4-FFF2-40B4-BE49-F238E27FC236}">
              <a16:creationId xmlns:a16="http://schemas.microsoft.com/office/drawing/2014/main" id="{25AAC4F4-886D-469D-05F8-2A784126D5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5.bin"/><Relationship Id="rId1" Type="http://schemas.openxmlformats.org/officeDocument/2006/relationships/hyperlink" Target="https://youtu.be/6E7Z9xewNng"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Z20"/>
  <sheetViews>
    <sheetView tabSelected="1" zoomScale="125" zoomScaleNormal="85" workbookViewId="0">
      <pane ySplit="1" topLeftCell="A2" activePane="bottomLeft" state="frozen"/>
      <selection activeCell="I17" sqref="I17"/>
      <selection pane="bottomLeft" activeCell="P35" sqref="P35"/>
    </sheetView>
  </sheetViews>
  <sheetFormatPr baseColWidth="10" defaultColWidth="8.83203125" defaultRowHeight="15" x14ac:dyDescent="0.2"/>
  <cols>
    <col min="1" max="1" width="20.33203125" customWidth="1"/>
    <col min="2" max="2" width="12.5" customWidth="1"/>
    <col min="3" max="6" width="13.6640625" customWidth="1"/>
    <col min="7" max="7" width="8.1640625" customWidth="1"/>
    <col min="8" max="10" width="7.5" customWidth="1"/>
    <col min="14" max="14" width="8.33203125" customWidth="1"/>
    <col min="15" max="15" width="8" customWidth="1"/>
    <col min="16" max="17" width="8.6640625" customWidth="1"/>
    <col min="18" max="18" width="10.33203125" customWidth="1"/>
    <col min="23" max="23" width="33.33203125" customWidth="1"/>
    <col min="26" max="26" width="22.83203125" customWidth="1"/>
  </cols>
  <sheetData>
    <row r="1" spans="1:26" s="1" customFormat="1" x14ac:dyDescent="0.2">
      <c r="A1" s="57" t="s">
        <v>9</v>
      </c>
      <c r="B1" s="57" t="s">
        <v>431</v>
      </c>
      <c r="C1" s="57" t="s">
        <v>68</v>
      </c>
      <c r="D1" s="57" t="s">
        <v>67</v>
      </c>
      <c r="E1" s="57" t="s">
        <v>338</v>
      </c>
      <c r="F1" s="57" t="s">
        <v>339</v>
      </c>
      <c r="G1" s="57" t="s">
        <v>57</v>
      </c>
      <c r="H1" s="57" t="s">
        <v>105</v>
      </c>
      <c r="I1" s="57" t="s">
        <v>328</v>
      </c>
      <c r="J1" s="57" t="s">
        <v>386</v>
      </c>
      <c r="K1" s="57" t="s">
        <v>104</v>
      </c>
      <c r="L1" s="57" t="s">
        <v>232</v>
      </c>
      <c r="M1" s="57" t="s">
        <v>69</v>
      </c>
      <c r="N1" s="57" t="s">
        <v>70</v>
      </c>
      <c r="O1" s="57" t="s">
        <v>244</v>
      </c>
      <c r="P1" s="57" t="s">
        <v>399</v>
      </c>
      <c r="Q1" s="57" t="s">
        <v>398</v>
      </c>
      <c r="R1" s="57" t="s">
        <v>317</v>
      </c>
      <c r="S1" s="57" t="s">
        <v>137</v>
      </c>
      <c r="T1" s="57" t="s">
        <v>237</v>
      </c>
      <c r="U1" s="57" t="s">
        <v>71</v>
      </c>
      <c r="V1" s="57" t="s">
        <v>257</v>
      </c>
      <c r="W1" s="57" t="s">
        <v>72</v>
      </c>
      <c r="X1" s="57" t="s">
        <v>73</v>
      </c>
      <c r="Y1" s="57" t="s">
        <v>74</v>
      </c>
      <c r="Z1" s="57" t="s">
        <v>117</v>
      </c>
    </row>
    <row r="2" spans="1:26" ht="18" x14ac:dyDescent="0.2">
      <c r="A2" s="11" t="s">
        <v>292</v>
      </c>
      <c r="B2" s="11" t="s">
        <v>254</v>
      </c>
      <c r="C2" s="57" t="s">
        <v>93</v>
      </c>
      <c r="D2" s="57" t="s">
        <v>124</v>
      </c>
      <c r="E2" s="57">
        <v>2</v>
      </c>
      <c r="F2" s="57" t="s">
        <v>250</v>
      </c>
      <c r="G2" s="58" t="s">
        <v>314</v>
      </c>
      <c r="H2" s="57" t="s">
        <v>58</v>
      </c>
      <c r="I2" s="57" t="s">
        <v>329</v>
      </c>
      <c r="J2" s="57" t="s">
        <v>60</v>
      </c>
      <c r="K2" s="57" t="s">
        <v>406</v>
      </c>
      <c r="L2" s="57" t="s">
        <v>250</v>
      </c>
      <c r="M2" s="48" t="s">
        <v>96</v>
      </c>
      <c r="N2" s="57" t="s">
        <v>368</v>
      </c>
      <c r="O2" s="57" t="s">
        <v>59</v>
      </c>
      <c r="P2" s="57" t="s">
        <v>59</v>
      </c>
      <c r="Q2" s="57" t="s">
        <v>427</v>
      </c>
      <c r="R2" s="57" t="s">
        <v>59</v>
      </c>
      <c r="S2" s="57" t="s">
        <v>285</v>
      </c>
      <c r="T2" s="57" t="s">
        <v>58</v>
      </c>
      <c r="U2" s="57" t="s">
        <v>419</v>
      </c>
      <c r="V2" s="57" t="s">
        <v>59</v>
      </c>
      <c r="W2" s="58" t="s">
        <v>97</v>
      </c>
      <c r="X2" s="49" t="s">
        <v>61</v>
      </c>
      <c r="Y2" s="57" t="s">
        <v>61</v>
      </c>
      <c r="Z2" s="48" t="s">
        <v>258</v>
      </c>
    </row>
    <row r="3" spans="1:26" ht="18" x14ac:dyDescent="0.2">
      <c r="A3" s="11" t="s">
        <v>207</v>
      </c>
      <c r="B3" s="11" t="s">
        <v>254</v>
      </c>
      <c r="C3" s="57" t="s">
        <v>93</v>
      </c>
      <c r="D3" s="57" t="s">
        <v>124</v>
      </c>
      <c r="E3" s="57">
        <v>1</v>
      </c>
      <c r="F3" s="57" t="s">
        <v>250</v>
      </c>
      <c r="G3" s="58" t="s">
        <v>314</v>
      </c>
      <c r="H3" s="57" t="s">
        <v>134</v>
      </c>
      <c r="I3" s="57" t="s">
        <v>329</v>
      </c>
      <c r="J3" s="57" t="s">
        <v>60</v>
      </c>
      <c r="K3" s="57" t="s">
        <v>503</v>
      </c>
      <c r="L3" s="57" t="s">
        <v>250</v>
      </c>
      <c r="M3" s="48" t="s">
        <v>96</v>
      </c>
      <c r="N3" s="57" t="s">
        <v>56</v>
      </c>
      <c r="O3" s="57" t="s">
        <v>59</v>
      </c>
      <c r="P3" s="57" t="s">
        <v>59</v>
      </c>
      <c r="Q3" s="57" t="s">
        <v>403</v>
      </c>
      <c r="R3" s="57" t="s">
        <v>59</v>
      </c>
      <c r="S3" s="57" t="s">
        <v>286</v>
      </c>
      <c r="T3" s="57" t="s">
        <v>236</v>
      </c>
      <c r="U3" s="57" t="s">
        <v>422</v>
      </c>
      <c r="V3" s="57" t="s">
        <v>59</v>
      </c>
      <c r="W3" s="58" t="s">
        <v>98</v>
      </c>
      <c r="X3" s="48" t="s">
        <v>60</v>
      </c>
      <c r="Y3" s="48" t="s">
        <v>60</v>
      </c>
      <c r="Z3" s="48" t="s">
        <v>258</v>
      </c>
    </row>
    <row r="4" spans="1:26" s="57" customFormat="1" ht="18" x14ac:dyDescent="0.2">
      <c r="A4" s="11" t="s">
        <v>469</v>
      </c>
      <c r="B4" s="11" t="s">
        <v>254</v>
      </c>
      <c r="C4" s="11" t="s">
        <v>93</v>
      </c>
      <c r="D4" s="11" t="s">
        <v>123</v>
      </c>
      <c r="E4" s="11">
        <v>2</v>
      </c>
      <c r="F4" s="11" t="s">
        <v>62</v>
      </c>
      <c r="G4" s="58" t="s">
        <v>314</v>
      </c>
      <c r="H4" s="11" t="s">
        <v>134</v>
      </c>
      <c r="I4" s="57" t="s">
        <v>329</v>
      </c>
      <c r="J4" s="57" t="s">
        <v>60</v>
      </c>
      <c r="K4" s="11" t="s">
        <v>406</v>
      </c>
      <c r="L4" s="57" t="s">
        <v>62</v>
      </c>
      <c r="M4" s="48" t="s">
        <v>96</v>
      </c>
      <c r="N4" s="11" t="s">
        <v>256</v>
      </c>
      <c r="O4" s="11" t="s">
        <v>59</v>
      </c>
      <c r="P4" s="11" t="s">
        <v>59</v>
      </c>
      <c r="Q4" s="11" t="s">
        <v>427</v>
      </c>
      <c r="R4" s="57" t="s">
        <v>59</v>
      </c>
      <c r="S4" s="11" t="s">
        <v>287</v>
      </c>
      <c r="T4" s="11" t="s">
        <v>236</v>
      </c>
      <c r="U4" s="11" t="s">
        <v>269</v>
      </c>
      <c r="V4" s="11" t="s">
        <v>263</v>
      </c>
      <c r="W4" s="58" t="s">
        <v>98</v>
      </c>
      <c r="X4" s="49" t="s">
        <v>61</v>
      </c>
      <c r="Y4" s="57" t="s">
        <v>60</v>
      </c>
      <c r="Z4" s="48" t="s">
        <v>258</v>
      </c>
    </row>
    <row r="5" spans="1:26" ht="18" x14ac:dyDescent="0.2">
      <c r="A5" s="11" t="s">
        <v>203</v>
      </c>
      <c r="B5" s="11" t="s">
        <v>254</v>
      </c>
      <c r="C5" s="57" t="s">
        <v>60</v>
      </c>
      <c r="D5" s="57" t="s">
        <v>125</v>
      </c>
      <c r="E5" s="57">
        <v>0.5</v>
      </c>
      <c r="F5" s="57" t="s">
        <v>250</v>
      </c>
      <c r="G5" s="58" t="s">
        <v>94</v>
      </c>
      <c r="H5" s="57" t="s">
        <v>134</v>
      </c>
      <c r="I5" s="57" t="s">
        <v>329</v>
      </c>
      <c r="J5" s="57" t="s">
        <v>60</v>
      </c>
      <c r="K5" s="57" t="s">
        <v>504</v>
      </c>
      <c r="L5" s="57" t="s">
        <v>250</v>
      </c>
      <c r="M5" s="48" t="s">
        <v>96</v>
      </c>
      <c r="N5" s="57" t="s">
        <v>56</v>
      </c>
      <c r="O5" s="57" t="s">
        <v>242</v>
      </c>
      <c r="P5" s="57" t="s">
        <v>59</v>
      </c>
      <c r="Q5" s="57"/>
      <c r="R5" s="57" t="s">
        <v>59</v>
      </c>
      <c r="S5" s="57" t="s">
        <v>284</v>
      </c>
      <c r="T5" s="57" t="s">
        <v>236</v>
      </c>
      <c r="U5" s="57" t="s">
        <v>236</v>
      </c>
      <c r="V5" s="57" t="s">
        <v>242</v>
      </c>
      <c r="W5" s="58" t="s">
        <v>98</v>
      </c>
      <c r="X5" s="48" t="s">
        <v>60</v>
      </c>
      <c r="Y5" s="57" t="s">
        <v>60</v>
      </c>
      <c r="Z5" s="48" t="s">
        <v>258</v>
      </c>
    </row>
    <row r="6" spans="1:26" ht="18" x14ac:dyDescent="0.2">
      <c r="A6" s="11" t="s">
        <v>472</v>
      </c>
      <c r="B6" s="11" t="s">
        <v>254</v>
      </c>
      <c r="C6" s="57" t="s">
        <v>93</v>
      </c>
      <c r="D6" s="57" t="s">
        <v>125</v>
      </c>
      <c r="E6" s="57">
        <v>1</v>
      </c>
      <c r="F6" s="57" t="s">
        <v>250</v>
      </c>
      <c r="G6" s="58" t="s">
        <v>94</v>
      </c>
      <c r="H6" s="57" t="s">
        <v>134</v>
      </c>
      <c r="I6" s="57" t="s">
        <v>329</v>
      </c>
      <c r="J6" s="57" t="s">
        <v>60</v>
      </c>
      <c r="K6" s="57" t="s">
        <v>503</v>
      </c>
      <c r="L6" s="57" t="s">
        <v>250</v>
      </c>
      <c r="M6" s="48" t="s">
        <v>96</v>
      </c>
      <c r="N6" s="57" t="s">
        <v>56</v>
      </c>
      <c r="O6" s="57" t="s">
        <v>242</v>
      </c>
      <c r="P6" s="57" t="s">
        <v>59</v>
      </c>
      <c r="Q6" s="57" t="s">
        <v>427</v>
      </c>
      <c r="R6" s="57" t="s">
        <v>59</v>
      </c>
      <c r="S6" s="57" t="s">
        <v>287</v>
      </c>
      <c r="T6" s="57" t="s">
        <v>236</v>
      </c>
      <c r="U6" s="57" t="s">
        <v>508</v>
      </c>
      <c r="V6" s="57" t="s">
        <v>242</v>
      </c>
      <c r="W6" s="58" t="s">
        <v>97</v>
      </c>
      <c r="X6" s="48" t="s">
        <v>61</v>
      </c>
      <c r="Y6" s="57" t="s">
        <v>61</v>
      </c>
      <c r="Z6" s="48" t="s">
        <v>259</v>
      </c>
    </row>
    <row r="7" spans="1:26" ht="18" x14ac:dyDescent="0.2">
      <c r="A7" s="11" t="s">
        <v>197</v>
      </c>
      <c r="B7" s="11" t="s">
        <v>254</v>
      </c>
      <c r="C7" s="57" t="s">
        <v>60</v>
      </c>
      <c r="D7" s="57" t="s">
        <v>123</v>
      </c>
      <c r="E7" s="57">
        <v>0.5</v>
      </c>
      <c r="F7" s="57" t="s">
        <v>250</v>
      </c>
      <c r="G7" s="58" t="s">
        <v>314</v>
      </c>
      <c r="H7" s="57" t="s">
        <v>134</v>
      </c>
      <c r="I7" s="57" t="s">
        <v>329</v>
      </c>
      <c r="J7" s="57"/>
      <c r="K7" s="57" t="s">
        <v>406</v>
      </c>
      <c r="L7" s="57" t="s">
        <v>250</v>
      </c>
      <c r="M7" s="48" t="s">
        <v>96</v>
      </c>
      <c r="N7" s="58" t="s">
        <v>55</v>
      </c>
      <c r="O7" s="57" t="s">
        <v>242</v>
      </c>
      <c r="P7" s="57" t="s">
        <v>59</v>
      </c>
      <c r="Q7" s="57"/>
      <c r="R7" s="57" t="s">
        <v>242</v>
      </c>
      <c r="S7" s="57" t="s">
        <v>284</v>
      </c>
      <c r="T7" s="57" t="s">
        <v>236</v>
      </c>
      <c r="U7" s="57" t="s">
        <v>424</v>
      </c>
      <c r="V7" s="57" t="s">
        <v>59</v>
      </c>
      <c r="W7" s="58" t="s">
        <v>97</v>
      </c>
      <c r="X7" s="48" t="s">
        <v>60</v>
      </c>
      <c r="Y7" s="48" t="s">
        <v>60</v>
      </c>
      <c r="Z7" s="48" t="s">
        <v>258</v>
      </c>
    </row>
    <row r="8" spans="1:26" ht="18" x14ac:dyDescent="0.2">
      <c r="A8" s="11" t="s">
        <v>293</v>
      </c>
      <c r="B8" s="11" t="s">
        <v>385</v>
      </c>
      <c r="C8" s="57" t="s">
        <v>93</v>
      </c>
      <c r="D8" s="57" t="s">
        <v>125</v>
      </c>
      <c r="E8" s="57">
        <v>1</v>
      </c>
      <c r="F8" s="57" t="s">
        <v>250</v>
      </c>
      <c r="G8" s="58" t="s">
        <v>314</v>
      </c>
      <c r="H8" s="57" t="s">
        <v>58</v>
      </c>
      <c r="I8" s="57" t="s">
        <v>329</v>
      </c>
      <c r="J8" s="57"/>
      <c r="K8" s="57" t="s">
        <v>403</v>
      </c>
      <c r="L8" s="57" t="s">
        <v>250</v>
      </c>
      <c r="M8" s="48" t="s">
        <v>96</v>
      </c>
      <c r="N8" s="57" t="s">
        <v>59</v>
      </c>
      <c r="O8" s="57" t="s">
        <v>59</v>
      </c>
      <c r="P8" s="57" t="s">
        <v>59</v>
      </c>
      <c r="Q8" s="57"/>
      <c r="R8" s="57" t="s">
        <v>59</v>
      </c>
      <c r="S8" s="57" t="s">
        <v>58</v>
      </c>
      <c r="T8" s="57" t="s">
        <v>236</v>
      </c>
      <c r="U8" s="57" t="s">
        <v>419</v>
      </c>
      <c r="V8" s="57" t="s">
        <v>59</v>
      </c>
      <c r="W8" s="58" t="s">
        <v>97</v>
      </c>
      <c r="X8" s="48" t="s">
        <v>60</v>
      </c>
      <c r="Y8" s="57" t="s">
        <v>60</v>
      </c>
      <c r="Z8" s="57" t="s">
        <v>260</v>
      </c>
    </row>
    <row r="9" spans="1:26" ht="18" x14ac:dyDescent="0.2">
      <c r="A9" s="11" t="s">
        <v>470</v>
      </c>
      <c r="B9" s="57"/>
      <c r="C9" s="11" t="s">
        <v>93</v>
      </c>
      <c r="D9" s="11" t="s">
        <v>124</v>
      </c>
      <c r="E9" s="11"/>
      <c r="F9" s="11"/>
      <c r="G9" s="58" t="s">
        <v>314</v>
      </c>
      <c r="H9" s="11" t="s">
        <v>58</v>
      </c>
      <c r="I9" s="57" t="s">
        <v>329</v>
      </c>
      <c r="J9" s="57"/>
      <c r="K9" s="11" t="s">
        <v>403</v>
      </c>
      <c r="L9" s="11" t="s">
        <v>250</v>
      </c>
      <c r="M9" s="48" t="s">
        <v>96</v>
      </c>
      <c r="N9" s="11" t="s">
        <v>59</v>
      </c>
      <c r="O9" s="11" t="s">
        <v>59</v>
      </c>
      <c r="P9" s="11" t="s">
        <v>59</v>
      </c>
      <c r="Q9" s="11"/>
      <c r="R9" s="57" t="s">
        <v>59</v>
      </c>
      <c r="S9" s="11" t="s">
        <v>58</v>
      </c>
      <c r="T9" s="11" t="s">
        <v>236</v>
      </c>
      <c r="U9" s="57" t="s">
        <v>419</v>
      </c>
      <c r="V9" s="11" t="s">
        <v>59</v>
      </c>
      <c r="W9" s="58" t="s">
        <v>97</v>
      </c>
      <c r="X9" s="49" t="s">
        <v>61</v>
      </c>
      <c r="Y9" s="57" t="s">
        <v>61</v>
      </c>
      <c r="Z9" s="48" t="s">
        <v>260</v>
      </c>
    </row>
    <row r="10" spans="1:26" ht="18" x14ac:dyDescent="0.2">
      <c r="A10" s="11" t="s">
        <v>291</v>
      </c>
      <c r="B10" s="11" t="s">
        <v>384</v>
      </c>
      <c r="C10" s="11" t="s">
        <v>452</v>
      </c>
      <c r="D10" s="11" t="s">
        <v>124</v>
      </c>
      <c r="E10" s="11">
        <v>0.5</v>
      </c>
      <c r="F10" s="11" t="s">
        <v>250</v>
      </c>
      <c r="G10" s="58" t="s">
        <v>314</v>
      </c>
      <c r="H10" s="11" t="s">
        <v>58</v>
      </c>
      <c r="I10" s="57" t="s">
        <v>329</v>
      </c>
      <c r="J10" s="11" t="s">
        <v>61</v>
      </c>
      <c r="K10" s="11" t="s">
        <v>406</v>
      </c>
      <c r="L10" s="11" t="s">
        <v>62</v>
      </c>
      <c r="M10" s="48" t="s">
        <v>59</v>
      </c>
      <c r="N10" s="11" t="s">
        <v>368</v>
      </c>
      <c r="O10" s="11" t="s">
        <v>59</v>
      </c>
      <c r="P10" s="11" t="s">
        <v>59</v>
      </c>
      <c r="Q10" s="11" t="s">
        <v>403</v>
      </c>
      <c r="R10" s="57" t="s">
        <v>59</v>
      </c>
      <c r="S10" s="11" t="s">
        <v>58</v>
      </c>
      <c r="T10" s="11" t="s">
        <v>422</v>
      </c>
      <c r="U10" s="57" t="s">
        <v>62</v>
      </c>
      <c r="V10" s="11" t="s">
        <v>242</v>
      </c>
      <c r="W10" s="58" t="s">
        <v>97</v>
      </c>
      <c r="X10" s="49" t="s">
        <v>61</v>
      </c>
      <c r="Y10" s="57" t="s">
        <v>61</v>
      </c>
      <c r="Z10" s="48" t="s">
        <v>258</v>
      </c>
    </row>
    <row r="11" spans="1:26" s="40" customFormat="1" ht="18" x14ac:dyDescent="0.2">
      <c r="A11" s="11" t="s">
        <v>471</v>
      </c>
      <c r="B11" s="11" t="s">
        <v>384</v>
      </c>
      <c r="C11" s="11" t="s">
        <v>93</v>
      </c>
      <c r="D11" s="11" t="s">
        <v>123</v>
      </c>
      <c r="E11" s="57">
        <v>1</v>
      </c>
      <c r="F11" s="57" t="s">
        <v>250</v>
      </c>
      <c r="G11" s="58" t="s">
        <v>315</v>
      </c>
      <c r="H11" s="11" t="s">
        <v>58</v>
      </c>
      <c r="I11" s="57" t="s">
        <v>329</v>
      </c>
      <c r="J11" s="57" t="s">
        <v>60</v>
      </c>
      <c r="K11" s="11" t="s">
        <v>403</v>
      </c>
      <c r="L11" s="11" t="s">
        <v>250</v>
      </c>
      <c r="M11" s="48" t="s">
        <v>96</v>
      </c>
      <c r="N11" s="11" t="s">
        <v>368</v>
      </c>
      <c r="O11" s="11" t="s">
        <v>59</v>
      </c>
      <c r="P11" s="11" t="s">
        <v>59</v>
      </c>
      <c r="Q11" s="11" t="s">
        <v>427</v>
      </c>
      <c r="R11" s="57" t="s">
        <v>59</v>
      </c>
      <c r="S11" s="11" t="s">
        <v>58</v>
      </c>
      <c r="T11" s="11" t="s">
        <v>236</v>
      </c>
      <c r="U11" s="11" t="s">
        <v>422</v>
      </c>
      <c r="V11" s="11" t="s">
        <v>59</v>
      </c>
      <c r="W11" s="58" t="s">
        <v>98</v>
      </c>
      <c r="X11" s="49" t="s">
        <v>60</v>
      </c>
      <c r="Y11" s="11" t="s">
        <v>60</v>
      </c>
      <c r="Z11" s="48" t="s">
        <v>259</v>
      </c>
    </row>
    <row r="12" spans="1:26" s="40" customFormat="1" ht="18" x14ac:dyDescent="0.2">
      <c r="A12" s="11" t="s">
        <v>475</v>
      </c>
      <c r="B12" s="57" t="s">
        <v>254</v>
      </c>
      <c r="C12" s="57" t="s">
        <v>133</v>
      </c>
      <c r="D12" s="57" t="s">
        <v>125</v>
      </c>
      <c r="E12" s="57">
        <v>2</v>
      </c>
      <c r="F12" s="57" t="s">
        <v>62</v>
      </c>
      <c r="G12" s="58" t="s">
        <v>314</v>
      </c>
      <c r="H12" s="57" t="s">
        <v>134</v>
      </c>
      <c r="I12" s="57" t="s">
        <v>329</v>
      </c>
      <c r="J12" s="57" t="s">
        <v>60</v>
      </c>
      <c r="K12" s="57" t="s">
        <v>503</v>
      </c>
      <c r="L12" s="57" t="s">
        <v>62</v>
      </c>
      <c r="M12" s="48" t="s">
        <v>59</v>
      </c>
      <c r="N12" s="57" t="s">
        <v>56</v>
      </c>
      <c r="O12" s="57" t="s">
        <v>59</v>
      </c>
      <c r="P12" s="57" t="s">
        <v>59</v>
      </c>
      <c r="Q12" s="57" t="s">
        <v>427</v>
      </c>
      <c r="R12" s="57" t="s">
        <v>59</v>
      </c>
      <c r="S12" s="57" t="s">
        <v>285</v>
      </c>
      <c r="T12" s="57" t="s">
        <v>236</v>
      </c>
      <c r="U12" s="57" t="s">
        <v>236</v>
      </c>
      <c r="V12" s="57" t="s">
        <v>59</v>
      </c>
      <c r="W12" s="58" t="s">
        <v>97</v>
      </c>
      <c r="X12" s="49" t="s">
        <v>61</v>
      </c>
      <c r="Y12" s="57" t="s">
        <v>61</v>
      </c>
      <c r="Z12" s="48" t="s">
        <v>261</v>
      </c>
    </row>
    <row r="13" spans="1:26" s="40" customFormat="1" ht="18" x14ac:dyDescent="0.2">
      <c r="A13" s="11" t="s">
        <v>294</v>
      </c>
      <c r="B13" s="11" t="s">
        <v>385</v>
      </c>
      <c r="C13" s="57" t="s">
        <v>93</v>
      </c>
      <c r="D13" s="57" t="s">
        <v>123</v>
      </c>
      <c r="E13" s="57" t="s">
        <v>255</v>
      </c>
      <c r="F13" s="57" t="s">
        <v>62</v>
      </c>
      <c r="G13" s="58" t="s">
        <v>315</v>
      </c>
      <c r="H13" s="57" t="s">
        <v>58</v>
      </c>
      <c r="I13" s="57" t="s">
        <v>329</v>
      </c>
      <c r="J13" s="57" t="s">
        <v>60</v>
      </c>
      <c r="K13" s="57" t="s">
        <v>403</v>
      </c>
      <c r="L13" s="57" t="s">
        <v>62</v>
      </c>
      <c r="M13" s="48" t="s">
        <v>96</v>
      </c>
      <c r="N13" s="57" t="s">
        <v>368</v>
      </c>
      <c r="O13" s="57" t="s">
        <v>418</v>
      </c>
      <c r="P13" s="57" t="s">
        <v>242</v>
      </c>
      <c r="Q13" s="57" t="s">
        <v>403</v>
      </c>
      <c r="R13" s="57" t="s">
        <v>242</v>
      </c>
      <c r="S13" s="57" t="s">
        <v>58</v>
      </c>
      <c r="T13" s="57" t="s">
        <v>58</v>
      </c>
      <c r="U13" s="57" t="s">
        <v>424</v>
      </c>
      <c r="V13" s="57" t="s">
        <v>59</v>
      </c>
      <c r="W13" s="58" t="s">
        <v>98</v>
      </c>
      <c r="X13" s="49" t="s">
        <v>425</v>
      </c>
      <c r="Y13" s="57" t="s">
        <v>60</v>
      </c>
      <c r="Z13" s="57" t="s">
        <v>259</v>
      </c>
    </row>
    <row r="14" spans="1:26" ht="16" x14ac:dyDescent="0.2">
      <c r="A14" s="11" t="s">
        <v>474</v>
      </c>
      <c r="B14" s="57" t="s">
        <v>324</v>
      </c>
      <c r="C14" s="57" t="s">
        <v>93</v>
      </c>
      <c r="D14" s="57"/>
      <c r="E14" s="57"/>
      <c r="F14" s="57"/>
      <c r="G14" s="58" t="s">
        <v>315</v>
      </c>
      <c r="H14" s="57"/>
      <c r="I14" s="57" t="s">
        <v>330</v>
      </c>
      <c r="J14" s="57"/>
      <c r="K14" s="57"/>
      <c r="L14" s="57"/>
      <c r="M14" s="57"/>
      <c r="N14" s="57"/>
      <c r="O14" s="57"/>
      <c r="P14" s="57"/>
      <c r="Q14" s="57"/>
      <c r="R14" s="57"/>
      <c r="S14" s="57"/>
      <c r="T14" s="57"/>
      <c r="U14" s="57"/>
      <c r="V14" s="57"/>
      <c r="W14" s="57"/>
      <c r="X14" s="57"/>
      <c r="Y14" s="57"/>
      <c r="Z14" s="57"/>
    </row>
    <row r="15" spans="1:26" ht="18" x14ac:dyDescent="0.2">
      <c r="A15" s="11" t="s">
        <v>473</v>
      </c>
      <c r="B15" s="11" t="s">
        <v>389</v>
      </c>
      <c r="C15" s="11" t="s">
        <v>93</v>
      </c>
      <c r="D15" s="11" t="s">
        <v>126</v>
      </c>
      <c r="E15" s="11" t="s">
        <v>390</v>
      </c>
      <c r="F15" s="11" t="s">
        <v>250</v>
      </c>
      <c r="G15" s="58" t="s">
        <v>315</v>
      </c>
      <c r="H15" s="11" t="s">
        <v>58</v>
      </c>
      <c r="I15" s="11" t="s">
        <v>329</v>
      </c>
      <c r="J15" s="11" t="s">
        <v>396</v>
      </c>
      <c r="K15" s="57" t="s">
        <v>403</v>
      </c>
      <c r="L15" s="11" t="s">
        <v>62</v>
      </c>
      <c r="M15" s="48" t="s">
        <v>59</v>
      </c>
      <c r="N15" s="11" t="s">
        <v>368</v>
      </c>
      <c r="O15" s="11" t="s">
        <v>59</v>
      </c>
      <c r="P15" s="57"/>
      <c r="Q15" s="11" t="s">
        <v>403</v>
      </c>
      <c r="R15" s="11" t="s">
        <v>59</v>
      </c>
      <c r="S15" s="11" t="s">
        <v>58</v>
      </c>
      <c r="T15" s="11" t="s">
        <v>58</v>
      </c>
      <c r="U15" s="11" t="s">
        <v>419</v>
      </c>
      <c r="V15" s="11" t="s">
        <v>59</v>
      </c>
      <c r="W15" s="58" t="s">
        <v>97</v>
      </c>
      <c r="X15" s="49" t="s">
        <v>60</v>
      </c>
      <c r="Y15" s="11" t="s">
        <v>61</v>
      </c>
      <c r="Z15" s="48" t="s">
        <v>258</v>
      </c>
    </row>
    <row r="16" spans="1:26" ht="18" x14ac:dyDescent="0.2">
      <c r="A16" s="11" t="s">
        <v>492</v>
      </c>
      <c r="B16" s="11" t="s">
        <v>254</v>
      </c>
      <c r="C16" s="11" t="s">
        <v>93</v>
      </c>
      <c r="D16" s="11" t="s">
        <v>123</v>
      </c>
      <c r="E16" s="11">
        <v>2</v>
      </c>
      <c r="F16" s="11" t="s">
        <v>62</v>
      </c>
      <c r="G16" s="58" t="s">
        <v>94</v>
      </c>
      <c r="H16" s="11" t="s">
        <v>134</v>
      </c>
      <c r="I16" s="11" t="s">
        <v>329</v>
      </c>
      <c r="J16" s="11" t="s">
        <v>60</v>
      </c>
      <c r="K16" s="57" t="s">
        <v>503</v>
      </c>
      <c r="L16" s="11" t="s">
        <v>62</v>
      </c>
      <c r="M16" s="48" t="s">
        <v>96</v>
      </c>
      <c r="N16" s="11" t="s">
        <v>55</v>
      </c>
      <c r="O16" s="11" t="s">
        <v>242</v>
      </c>
      <c r="P16" s="11" t="s">
        <v>59</v>
      </c>
      <c r="Q16" s="11" t="s">
        <v>406</v>
      </c>
      <c r="R16" s="11" t="s">
        <v>59</v>
      </c>
      <c r="S16" s="11" t="s">
        <v>284</v>
      </c>
      <c r="T16" s="11" t="s">
        <v>236</v>
      </c>
      <c r="U16" s="11" t="s">
        <v>493</v>
      </c>
      <c r="V16" s="11" t="s">
        <v>242</v>
      </c>
      <c r="W16" s="58" t="s">
        <v>97</v>
      </c>
      <c r="X16" s="49" t="s">
        <v>60</v>
      </c>
      <c r="Y16" s="11" t="s">
        <v>61</v>
      </c>
      <c r="Z16" s="48" t="s">
        <v>258</v>
      </c>
    </row>
    <row r="17" spans="1:26" ht="18" x14ac:dyDescent="0.2">
      <c r="A17" s="11" t="s">
        <v>514</v>
      </c>
      <c r="B17" s="11" t="s">
        <v>254</v>
      </c>
      <c r="C17" s="11" t="s">
        <v>60</v>
      </c>
      <c r="D17" s="11" t="s">
        <v>123</v>
      </c>
      <c r="E17" s="11">
        <v>2</v>
      </c>
      <c r="F17" s="11" t="s">
        <v>62</v>
      </c>
      <c r="G17" s="58" t="s">
        <v>315</v>
      </c>
      <c r="H17" s="11" t="s">
        <v>134</v>
      </c>
      <c r="I17" s="11" t="s">
        <v>329</v>
      </c>
      <c r="J17" s="11" t="s">
        <v>60</v>
      </c>
      <c r="K17" s="11" t="s">
        <v>403</v>
      </c>
      <c r="L17" s="11" t="s">
        <v>62</v>
      </c>
      <c r="M17" s="48" t="s">
        <v>96</v>
      </c>
      <c r="N17" s="11" t="s">
        <v>56</v>
      </c>
      <c r="O17" s="11" t="s">
        <v>242</v>
      </c>
      <c r="P17" s="11" t="s">
        <v>59</v>
      </c>
      <c r="Q17" s="11" t="s">
        <v>403</v>
      </c>
      <c r="R17" s="11" t="s">
        <v>59</v>
      </c>
      <c r="S17" s="11" t="s">
        <v>284</v>
      </c>
      <c r="T17" s="11" t="s">
        <v>236</v>
      </c>
      <c r="U17" s="11" t="s">
        <v>493</v>
      </c>
      <c r="V17" s="11" t="s">
        <v>242</v>
      </c>
      <c r="W17" s="58" t="s">
        <v>97</v>
      </c>
      <c r="X17" s="49" t="s">
        <v>61</v>
      </c>
      <c r="Y17" s="11" t="s">
        <v>61</v>
      </c>
      <c r="Z17" s="48" t="s">
        <v>258</v>
      </c>
    </row>
    <row r="18" spans="1:26" ht="16" x14ac:dyDescent="0.2">
      <c r="A18" s="11" t="s">
        <v>476</v>
      </c>
      <c r="B18" s="11"/>
      <c r="C18" s="11"/>
      <c r="D18" s="11" t="s">
        <v>253</v>
      </c>
      <c r="E18" s="11"/>
      <c r="F18" s="11"/>
      <c r="G18" s="58" t="s">
        <v>95</v>
      </c>
      <c r="H18" s="57" t="s">
        <v>58</v>
      </c>
      <c r="I18" s="57"/>
      <c r="J18" s="57"/>
      <c r="K18" s="57"/>
      <c r="L18" s="57"/>
      <c r="M18" s="57"/>
      <c r="N18" s="57"/>
      <c r="O18" s="57"/>
      <c r="P18" s="57"/>
      <c r="Q18" s="57"/>
      <c r="R18" s="57"/>
      <c r="S18" s="57"/>
      <c r="T18" s="57"/>
      <c r="U18" s="57"/>
      <c r="V18" s="57"/>
      <c r="W18" s="57"/>
      <c r="X18" s="57"/>
      <c r="Y18" s="57"/>
      <c r="Z18" s="57"/>
    </row>
    <row r="19" spans="1:26" ht="16" x14ac:dyDescent="0.2">
      <c r="A19" s="11" t="s">
        <v>477</v>
      </c>
      <c r="B19" s="11"/>
      <c r="C19" s="57"/>
      <c r="D19" s="57"/>
      <c r="E19" s="57"/>
      <c r="F19" s="57"/>
      <c r="G19" s="58" t="s">
        <v>95</v>
      </c>
      <c r="H19" s="57" t="s">
        <v>58</v>
      </c>
      <c r="I19" s="57"/>
      <c r="J19" s="57"/>
      <c r="K19" s="57"/>
      <c r="L19" s="57"/>
      <c r="M19" s="57"/>
      <c r="N19" s="57"/>
      <c r="O19" s="50"/>
      <c r="P19" s="57"/>
      <c r="Q19" s="57"/>
      <c r="R19" s="57"/>
      <c r="S19" s="57"/>
      <c r="T19" s="57"/>
      <c r="U19" s="57"/>
      <c r="V19" s="57"/>
      <c r="W19" s="57"/>
      <c r="X19" s="57"/>
      <c r="Y19" s="57"/>
      <c r="Z19" s="57"/>
    </row>
    <row r="20" spans="1:26" ht="18" x14ac:dyDescent="0.2">
      <c r="A20" s="11" t="s">
        <v>478</v>
      </c>
      <c r="B20" s="11"/>
      <c r="C20" s="57"/>
      <c r="D20" s="57"/>
      <c r="E20" s="57"/>
      <c r="F20" s="57"/>
      <c r="G20" s="57"/>
      <c r="H20" s="57"/>
      <c r="I20" s="57"/>
      <c r="J20" s="57"/>
      <c r="K20" s="57"/>
      <c r="L20" s="57"/>
      <c r="M20" s="57"/>
      <c r="N20" s="57"/>
      <c r="O20" s="51"/>
      <c r="P20" s="57"/>
      <c r="Q20" s="57"/>
      <c r="R20" s="57"/>
      <c r="S20" s="57"/>
      <c r="T20" s="57"/>
      <c r="U20" s="57"/>
      <c r="V20" s="57"/>
      <c r="W20" s="57"/>
      <c r="X20" s="57"/>
      <c r="Y20" s="57"/>
      <c r="Z20" s="57"/>
    </row>
  </sheetData>
  <sortState xmlns:xlrd2="http://schemas.microsoft.com/office/spreadsheetml/2017/richdata2" ref="A2:Z14">
    <sortCondition ref="Z2:Z14"/>
  </sortState>
  <phoneticPr fontId="37"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L26"/>
  <sheetViews>
    <sheetView zoomScale="138" zoomScaleNormal="85" workbookViewId="0">
      <pane ySplit="1" topLeftCell="A2" activePane="bottomLeft" state="frozen"/>
      <selection pane="bottomLeft" activeCell="A19" sqref="A19:XFD19"/>
    </sheetView>
  </sheetViews>
  <sheetFormatPr baseColWidth="10" defaultRowHeight="15" x14ac:dyDescent="0.2"/>
  <cols>
    <col min="3" max="3" width="16.33203125" customWidth="1"/>
    <col min="4" max="4" width="8.6640625" customWidth="1"/>
    <col min="5" max="5" width="67.83203125" customWidth="1"/>
    <col min="6" max="6" width="31" customWidth="1"/>
  </cols>
  <sheetData>
    <row r="1" spans="1:12" x14ac:dyDescent="0.2">
      <c r="A1" t="s">
        <v>8</v>
      </c>
      <c r="C1" t="s">
        <v>1</v>
      </c>
      <c r="D1" t="s">
        <v>2</v>
      </c>
      <c r="E1" t="s">
        <v>3</v>
      </c>
      <c r="F1" t="s">
        <v>41</v>
      </c>
      <c r="G1" t="s">
        <v>4</v>
      </c>
      <c r="H1" t="s">
        <v>7</v>
      </c>
      <c r="I1" t="s">
        <v>5</v>
      </c>
      <c r="J1" t="s">
        <v>13</v>
      </c>
      <c r="K1" t="s">
        <v>6</v>
      </c>
      <c r="L1" t="s">
        <v>43</v>
      </c>
    </row>
    <row r="2" spans="1:12" x14ac:dyDescent="0.2">
      <c r="A2" t="s">
        <v>431</v>
      </c>
      <c r="C2" t="s">
        <v>431</v>
      </c>
      <c r="D2" t="s">
        <v>431</v>
      </c>
      <c r="E2" t="s">
        <v>464</v>
      </c>
      <c r="G2" t="s">
        <v>0</v>
      </c>
      <c r="H2" t="s">
        <v>37</v>
      </c>
      <c r="I2" t="s">
        <v>35</v>
      </c>
      <c r="K2">
        <v>10</v>
      </c>
    </row>
    <row r="3" spans="1:12" x14ac:dyDescent="0.2">
      <c r="A3" t="s">
        <v>53</v>
      </c>
      <c r="C3" t="s">
        <v>67</v>
      </c>
      <c r="D3" t="s">
        <v>100</v>
      </c>
      <c r="E3" t="s">
        <v>107</v>
      </c>
      <c r="G3" t="s">
        <v>0</v>
      </c>
      <c r="H3" t="s">
        <v>37</v>
      </c>
      <c r="I3" t="s">
        <v>35</v>
      </c>
      <c r="K3">
        <v>2</v>
      </c>
    </row>
    <row r="4" spans="1:12" x14ac:dyDescent="0.2">
      <c r="A4" t="s">
        <v>53</v>
      </c>
      <c r="C4" t="s">
        <v>105</v>
      </c>
      <c r="D4" t="s">
        <v>106</v>
      </c>
      <c r="G4" t="s">
        <v>0</v>
      </c>
      <c r="H4" t="s">
        <v>37</v>
      </c>
      <c r="I4" t="s">
        <v>35</v>
      </c>
      <c r="K4">
        <v>4</v>
      </c>
    </row>
    <row r="5" spans="1:12" x14ac:dyDescent="0.2">
      <c r="A5" t="s">
        <v>53</v>
      </c>
      <c r="C5" t="s">
        <v>68</v>
      </c>
      <c r="D5" t="s">
        <v>132</v>
      </c>
      <c r="E5" t="s">
        <v>131</v>
      </c>
      <c r="G5" t="s">
        <v>0</v>
      </c>
      <c r="H5" t="s">
        <v>37</v>
      </c>
      <c r="I5" t="s">
        <v>35</v>
      </c>
      <c r="K5">
        <v>4</v>
      </c>
    </row>
    <row r="6" spans="1:12" x14ac:dyDescent="0.2">
      <c r="A6" t="s">
        <v>53</v>
      </c>
      <c r="C6" t="s">
        <v>339</v>
      </c>
      <c r="D6" t="s">
        <v>367</v>
      </c>
      <c r="E6" t="s">
        <v>374</v>
      </c>
      <c r="G6" t="s">
        <v>0</v>
      </c>
      <c r="H6" t="s">
        <v>37</v>
      </c>
      <c r="I6" t="s">
        <v>35</v>
      </c>
      <c r="K6">
        <v>4</v>
      </c>
    </row>
    <row r="7" spans="1:12" x14ac:dyDescent="0.2">
      <c r="A7" t="s">
        <v>53</v>
      </c>
      <c r="C7" t="s">
        <v>338</v>
      </c>
      <c r="D7" t="s">
        <v>366</v>
      </c>
      <c r="E7" t="s">
        <v>374</v>
      </c>
      <c r="G7" t="s">
        <v>0</v>
      </c>
      <c r="H7" t="s">
        <v>37</v>
      </c>
      <c r="I7" t="s">
        <v>35</v>
      </c>
      <c r="K7">
        <v>4</v>
      </c>
    </row>
    <row r="8" spans="1:12" x14ac:dyDescent="0.2">
      <c r="A8" t="s">
        <v>64</v>
      </c>
      <c r="C8" t="s">
        <v>104</v>
      </c>
      <c r="D8" t="s">
        <v>479</v>
      </c>
      <c r="E8" t="s">
        <v>480</v>
      </c>
      <c r="G8" t="s">
        <v>0</v>
      </c>
      <c r="H8" t="s">
        <v>37</v>
      </c>
      <c r="I8" t="s">
        <v>35</v>
      </c>
      <c r="K8">
        <v>3</v>
      </c>
    </row>
    <row r="9" spans="1:12" x14ac:dyDescent="0.2">
      <c r="A9" t="s">
        <v>64</v>
      </c>
      <c r="C9" t="s">
        <v>232</v>
      </c>
      <c r="D9" t="s">
        <v>233</v>
      </c>
      <c r="G9" t="s">
        <v>0</v>
      </c>
      <c r="H9" t="s">
        <v>37</v>
      </c>
      <c r="I9" t="s">
        <v>35</v>
      </c>
      <c r="K9">
        <v>3</v>
      </c>
    </row>
    <row r="10" spans="1:12" x14ac:dyDescent="0.2">
      <c r="A10" t="s">
        <v>64</v>
      </c>
      <c r="C10" t="s">
        <v>137</v>
      </c>
      <c r="D10" t="s">
        <v>138</v>
      </c>
      <c r="G10" t="s">
        <v>0</v>
      </c>
      <c r="H10" t="s">
        <v>37</v>
      </c>
      <c r="I10" t="s">
        <v>66</v>
      </c>
      <c r="K10">
        <v>5</v>
      </c>
    </row>
    <row r="11" spans="1:12" x14ac:dyDescent="0.2">
      <c r="A11" t="s">
        <v>64</v>
      </c>
      <c r="C11" t="s">
        <v>71</v>
      </c>
      <c r="D11" t="s">
        <v>453</v>
      </c>
      <c r="E11" t="s">
        <v>455</v>
      </c>
      <c r="G11" t="s">
        <v>0</v>
      </c>
      <c r="H11" t="s">
        <v>37</v>
      </c>
      <c r="I11" t="s">
        <v>35</v>
      </c>
      <c r="K11">
        <v>8</v>
      </c>
    </row>
    <row r="12" spans="1:12" x14ac:dyDescent="0.2">
      <c r="A12" t="s">
        <v>64</v>
      </c>
      <c r="C12" t="s">
        <v>237</v>
      </c>
      <c r="D12" t="s">
        <v>238</v>
      </c>
      <c r="E12" t="s">
        <v>455</v>
      </c>
      <c r="G12" t="s">
        <v>0</v>
      </c>
      <c r="H12" t="s">
        <v>37</v>
      </c>
      <c r="I12" t="s">
        <v>35</v>
      </c>
      <c r="K12">
        <v>4</v>
      </c>
    </row>
    <row r="13" spans="1:12" x14ac:dyDescent="0.2">
      <c r="A13" t="s">
        <v>64</v>
      </c>
      <c r="C13" t="s">
        <v>257</v>
      </c>
      <c r="D13" t="s">
        <v>262</v>
      </c>
      <c r="E13" t="s">
        <v>455</v>
      </c>
      <c r="G13" t="s">
        <v>0</v>
      </c>
      <c r="H13" t="s">
        <v>37</v>
      </c>
      <c r="I13" t="s">
        <v>35</v>
      </c>
      <c r="K13">
        <v>3</v>
      </c>
    </row>
    <row r="14" spans="1:12" x14ac:dyDescent="0.2">
      <c r="A14" t="s">
        <v>466</v>
      </c>
      <c r="C14" t="s">
        <v>72</v>
      </c>
      <c r="D14" t="s">
        <v>128</v>
      </c>
      <c r="E14" t="s">
        <v>456</v>
      </c>
      <c r="G14" t="s">
        <v>0</v>
      </c>
      <c r="H14" t="s">
        <v>37</v>
      </c>
      <c r="I14" t="s">
        <v>35</v>
      </c>
      <c r="K14">
        <v>5</v>
      </c>
    </row>
    <row r="15" spans="1:12" x14ac:dyDescent="0.2">
      <c r="A15" t="s">
        <v>466</v>
      </c>
      <c r="C15" t="s">
        <v>73</v>
      </c>
      <c r="D15" t="s">
        <v>119</v>
      </c>
      <c r="E15" t="s">
        <v>456</v>
      </c>
      <c r="G15" t="s">
        <v>0</v>
      </c>
      <c r="H15" t="s">
        <v>37</v>
      </c>
      <c r="I15" t="s">
        <v>35</v>
      </c>
      <c r="K15">
        <v>6</v>
      </c>
    </row>
    <row r="16" spans="1:12" x14ac:dyDescent="0.2">
      <c r="A16" t="s">
        <v>466</v>
      </c>
      <c r="C16" t="s">
        <v>74</v>
      </c>
      <c r="D16" t="s">
        <v>102</v>
      </c>
      <c r="E16" t="s">
        <v>456</v>
      </c>
      <c r="G16" t="s">
        <v>0</v>
      </c>
      <c r="H16" t="s">
        <v>37</v>
      </c>
      <c r="I16" t="s">
        <v>35</v>
      </c>
      <c r="K16">
        <v>8</v>
      </c>
    </row>
    <row r="17" spans="1:11" x14ac:dyDescent="0.2">
      <c r="A17" t="s">
        <v>466</v>
      </c>
      <c r="C17" t="s">
        <v>117</v>
      </c>
      <c r="D17" t="s">
        <v>103</v>
      </c>
      <c r="E17" t="s">
        <v>456</v>
      </c>
      <c r="G17" t="s">
        <v>0</v>
      </c>
      <c r="H17" t="s">
        <v>37</v>
      </c>
      <c r="I17" t="s">
        <v>35</v>
      </c>
      <c r="K17">
        <v>5</v>
      </c>
    </row>
    <row r="18" spans="1:11" x14ac:dyDescent="0.2">
      <c r="A18" t="s">
        <v>63</v>
      </c>
      <c r="C18" t="s">
        <v>57</v>
      </c>
      <c r="D18" t="s">
        <v>316</v>
      </c>
      <c r="G18" t="s">
        <v>0</v>
      </c>
      <c r="H18" t="s">
        <v>37</v>
      </c>
      <c r="I18" t="s">
        <v>35</v>
      </c>
      <c r="K18">
        <v>2</v>
      </c>
    </row>
    <row r="19" spans="1:11" x14ac:dyDescent="0.2">
      <c r="A19" t="s">
        <v>63</v>
      </c>
      <c r="C19" t="s">
        <v>69</v>
      </c>
      <c r="D19" t="s">
        <v>120</v>
      </c>
      <c r="G19" t="s">
        <v>0</v>
      </c>
      <c r="H19" t="s">
        <v>37</v>
      </c>
      <c r="I19" t="s">
        <v>35</v>
      </c>
      <c r="K19">
        <v>4</v>
      </c>
    </row>
    <row r="20" spans="1:11" x14ac:dyDescent="0.2">
      <c r="A20" t="s">
        <v>63</v>
      </c>
      <c r="C20" t="s">
        <v>70</v>
      </c>
      <c r="D20" t="s">
        <v>101</v>
      </c>
      <c r="G20" t="s">
        <v>0</v>
      </c>
      <c r="H20" t="s">
        <v>37</v>
      </c>
      <c r="I20" t="s">
        <v>35</v>
      </c>
      <c r="K20">
        <v>4</v>
      </c>
    </row>
    <row r="21" spans="1:11" x14ac:dyDescent="0.2">
      <c r="A21" t="s">
        <v>63</v>
      </c>
      <c r="C21" t="s">
        <v>398</v>
      </c>
      <c r="D21" t="s">
        <v>408</v>
      </c>
      <c r="G21" t="s">
        <v>0</v>
      </c>
      <c r="H21" t="s">
        <v>37</v>
      </c>
      <c r="I21" t="s">
        <v>35</v>
      </c>
      <c r="K21">
        <v>3</v>
      </c>
    </row>
    <row r="22" spans="1:11" x14ac:dyDescent="0.2">
      <c r="A22" t="s">
        <v>63</v>
      </c>
      <c r="C22" t="s">
        <v>244</v>
      </c>
      <c r="D22" t="s">
        <v>311</v>
      </c>
      <c r="G22" t="s">
        <v>0</v>
      </c>
      <c r="H22" t="s">
        <v>37</v>
      </c>
      <c r="I22" t="s">
        <v>35</v>
      </c>
      <c r="K22">
        <v>4</v>
      </c>
    </row>
    <row r="23" spans="1:11" x14ac:dyDescent="0.2">
      <c r="A23" t="s">
        <v>63</v>
      </c>
      <c r="C23" t="s">
        <v>399</v>
      </c>
      <c r="D23" t="s">
        <v>400</v>
      </c>
      <c r="G23" t="s">
        <v>0</v>
      </c>
      <c r="H23" t="s">
        <v>37</v>
      </c>
      <c r="I23" t="s">
        <v>35</v>
      </c>
      <c r="K23">
        <v>5</v>
      </c>
    </row>
    <row r="24" spans="1:11" x14ac:dyDescent="0.2">
      <c r="A24" t="s">
        <v>63</v>
      </c>
      <c r="C24" t="s">
        <v>317</v>
      </c>
      <c r="D24" t="s">
        <v>318</v>
      </c>
      <c r="G24" t="s">
        <v>0</v>
      </c>
      <c r="H24" t="s">
        <v>37</v>
      </c>
      <c r="I24" t="s">
        <v>35</v>
      </c>
      <c r="K24">
        <v>6</v>
      </c>
    </row>
    <row r="25" spans="1:11" x14ac:dyDescent="0.2">
      <c r="A25" t="s">
        <v>465</v>
      </c>
      <c r="C25" t="s">
        <v>328</v>
      </c>
      <c r="D25" t="s">
        <v>331</v>
      </c>
      <c r="E25" t="s">
        <v>332</v>
      </c>
      <c r="G25" t="s">
        <v>0</v>
      </c>
      <c r="H25" t="s">
        <v>37</v>
      </c>
      <c r="I25" t="s">
        <v>35</v>
      </c>
      <c r="K25">
        <v>4</v>
      </c>
    </row>
    <row r="26" spans="1:11" x14ac:dyDescent="0.2">
      <c r="A26" t="s">
        <v>465</v>
      </c>
      <c r="C26" t="s">
        <v>386</v>
      </c>
      <c r="D26" t="s">
        <v>387</v>
      </c>
      <c r="E26" t="s">
        <v>391</v>
      </c>
      <c r="G26" t="s">
        <v>0</v>
      </c>
      <c r="H26" t="s">
        <v>37</v>
      </c>
      <c r="I26" t="s">
        <v>35</v>
      </c>
      <c r="K26">
        <v>4</v>
      </c>
    </row>
  </sheetData>
  <phoneticPr fontId="37"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F94"/>
  <sheetViews>
    <sheetView zoomScale="91" zoomScaleNormal="85" workbookViewId="0">
      <pane ySplit="1" topLeftCell="A29" activePane="bottomLeft" state="frozen"/>
      <selection pane="bottomLeft" activeCell="A65" sqref="A65:XFD66"/>
    </sheetView>
  </sheetViews>
  <sheetFormatPr baseColWidth="10" defaultColWidth="8.83203125" defaultRowHeight="15" x14ac:dyDescent="0.2"/>
  <cols>
    <col min="1" max="1" width="13.5" customWidth="1"/>
    <col min="2" max="2" width="14.1640625" bestFit="1" customWidth="1"/>
    <col min="3" max="3" width="25.83203125" customWidth="1"/>
    <col min="4" max="4" width="12.1640625" bestFit="1" customWidth="1"/>
    <col min="5" max="5" width="44.6640625" customWidth="1"/>
    <col min="6" max="6" width="14.5" bestFit="1" customWidth="1"/>
    <col min="8" max="8" width="12" customWidth="1"/>
  </cols>
  <sheetData>
    <row r="1" spans="1:6" s="1" customFormat="1" x14ac:dyDescent="0.2">
      <c r="A1" s="1" t="s">
        <v>1</v>
      </c>
      <c r="B1" s="1" t="s">
        <v>10</v>
      </c>
      <c r="C1" s="1" t="s">
        <v>15</v>
      </c>
      <c r="D1" s="1" t="s">
        <v>44</v>
      </c>
      <c r="E1" s="1" t="s">
        <v>11</v>
      </c>
      <c r="F1" s="1" t="s">
        <v>42</v>
      </c>
    </row>
    <row r="2" spans="1:6" ht="16" x14ac:dyDescent="0.2">
      <c r="A2" t="s">
        <v>431</v>
      </c>
      <c r="B2" t="s">
        <v>254</v>
      </c>
      <c r="C2" s="53" t="s">
        <v>433</v>
      </c>
      <c r="D2" s="6"/>
      <c r="E2" s="53" t="s">
        <v>432</v>
      </c>
    </row>
    <row r="3" spans="1:6" ht="16" x14ac:dyDescent="0.2">
      <c r="A3" t="s">
        <v>431</v>
      </c>
      <c r="B3" t="s">
        <v>384</v>
      </c>
      <c r="C3" s="53" t="s">
        <v>435</v>
      </c>
      <c r="D3" s="6"/>
      <c r="E3" s="53"/>
    </row>
    <row r="4" spans="1:6" ht="16" x14ac:dyDescent="0.2">
      <c r="A4" t="s">
        <v>431</v>
      </c>
      <c r="B4" t="s">
        <v>385</v>
      </c>
      <c r="C4" s="53" t="s">
        <v>434</v>
      </c>
      <c r="D4" s="6"/>
      <c r="E4" s="53"/>
    </row>
    <row r="5" spans="1:6" ht="16" x14ac:dyDescent="0.2">
      <c r="A5" t="s">
        <v>431</v>
      </c>
      <c r="B5" t="s">
        <v>389</v>
      </c>
      <c r="C5" s="53" t="s">
        <v>436</v>
      </c>
      <c r="D5" s="6"/>
      <c r="E5" s="53"/>
    </row>
    <row r="6" spans="1:6" ht="16" x14ac:dyDescent="0.2">
      <c r="A6" t="s">
        <v>431</v>
      </c>
      <c r="B6" t="s">
        <v>324</v>
      </c>
      <c r="C6" s="53" t="s">
        <v>463</v>
      </c>
      <c r="D6" s="6"/>
      <c r="E6" s="53"/>
    </row>
    <row r="7" spans="1:6" s="37" customFormat="1" ht="21" x14ac:dyDescent="0.25">
      <c r="A7" s="37" t="s">
        <v>161</v>
      </c>
    </row>
    <row r="8" spans="1:6" s="37" customFormat="1" ht="21" x14ac:dyDescent="0.25">
      <c r="A8" s="37" t="s">
        <v>327</v>
      </c>
    </row>
    <row r="9" spans="1:6" s="38" customFormat="1" ht="21" x14ac:dyDescent="0.25">
      <c r="A9" s="38" t="s">
        <v>161</v>
      </c>
    </row>
    <row r="10" spans="1:6" s="38" customFormat="1" ht="21" x14ac:dyDescent="0.25">
      <c r="A10" s="38" t="s">
        <v>454</v>
      </c>
    </row>
    <row r="11" spans="1:6" s="38" customFormat="1" ht="21" x14ac:dyDescent="0.25">
      <c r="A11" s="38" t="s">
        <v>161</v>
      </c>
    </row>
    <row r="12" spans="1:6" ht="16" x14ac:dyDescent="0.2">
      <c r="A12" t="s">
        <v>328</v>
      </c>
      <c r="B12" s="28" t="s">
        <v>329</v>
      </c>
      <c r="C12" s="28" t="s">
        <v>333</v>
      </c>
      <c r="D12" s="6"/>
      <c r="E12" s="28" t="s">
        <v>334</v>
      </c>
    </row>
    <row r="13" spans="1:6" ht="16" x14ac:dyDescent="0.2">
      <c r="A13" t="s">
        <v>328</v>
      </c>
      <c r="B13" s="28" t="s">
        <v>330</v>
      </c>
      <c r="C13" s="47" t="s">
        <v>375</v>
      </c>
      <c r="D13" s="6"/>
      <c r="E13" s="28" t="s">
        <v>335</v>
      </c>
    </row>
    <row r="14" spans="1:6" ht="16" x14ac:dyDescent="0.2">
      <c r="A14" t="s">
        <v>386</v>
      </c>
      <c r="B14" s="53" t="s">
        <v>61</v>
      </c>
      <c r="C14" s="53" t="s">
        <v>392</v>
      </c>
      <c r="D14" s="6"/>
      <c r="E14" s="53" t="s">
        <v>393</v>
      </c>
    </row>
    <row r="15" spans="1:6" ht="16" x14ac:dyDescent="0.2">
      <c r="A15" t="s">
        <v>386</v>
      </c>
      <c r="B15" s="53" t="s">
        <v>60</v>
      </c>
      <c r="C15" s="53" t="s">
        <v>394</v>
      </c>
      <c r="D15" s="6"/>
      <c r="E15" s="53" t="s">
        <v>395</v>
      </c>
    </row>
    <row r="16" spans="1:6" ht="16" x14ac:dyDescent="0.2">
      <c r="A16" t="s">
        <v>386</v>
      </c>
      <c r="B16" s="53" t="s">
        <v>396</v>
      </c>
      <c r="C16" s="53" t="s">
        <v>426</v>
      </c>
      <c r="D16" s="6"/>
      <c r="E16" s="53" t="s">
        <v>439</v>
      </c>
    </row>
    <row r="17" spans="1:5" ht="16" x14ac:dyDescent="0.2">
      <c r="B17" s="53"/>
      <c r="C17" s="47"/>
      <c r="D17" s="6"/>
    </row>
    <row r="18" spans="1:5" s="38" customFormat="1" ht="21" x14ac:dyDescent="0.25">
      <c r="A18" s="38" t="s">
        <v>325</v>
      </c>
    </row>
    <row r="19" spans="1:5" ht="16" x14ac:dyDescent="0.2">
      <c r="A19" t="s">
        <v>68</v>
      </c>
      <c r="B19" s="16" t="s">
        <v>93</v>
      </c>
      <c r="C19" s="16" t="s">
        <v>121</v>
      </c>
      <c r="D19" s="6"/>
      <c r="E19" s="8"/>
    </row>
    <row r="20" spans="1:5" ht="16" x14ac:dyDescent="0.2">
      <c r="A20" t="s">
        <v>68</v>
      </c>
      <c r="B20" s="17" t="s">
        <v>60</v>
      </c>
      <c r="C20" s="16" t="s">
        <v>122</v>
      </c>
      <c r="D20" s="6"/>
      <c r="E20" s="8"/>
    </row>
    <row r="21" spans="1:5" ht="16" x14ac:dyDescent="0.2">
      <c r="A21" t="s">
        <v>105</v>
      </c>
      <c r="B21" s="17" t="s">
        <v>134</v>
      </c>
      <c r="C21" s="17" t="s">
        <v>135</v>
      </c>
      <c r="D21" s="6"/>
      <c r="E21" s="28" t="s">
        <v>321</v>
      </c>
    </row>
    <row r="22" spans="1:5" ht="16" x14ac:dyDescent="0.2">
      <c r="A22" t="s">
        <v>105</v>
      </c>
      <c r="B22" s="17" t="s">
        <v>58</v>
      </c>
      <c r="C22" s="17" t="s">
        <v>136</v>
      </c>
      <c r="D22" s="6"/>
      <c r="E22" s="8"/>
    </row>
    <row r="23" spans="1:5" ht="16" x14ac:dyDescent="0.2">
      <c r="A23" t="s">
        <v>67</v>
      </c>
      <c r="B23" s="17" t="s">
        <v>124</v>
      </c>
      <c r="C23" s="17" t="s">
        <v>140</v>
      </c>
      <c r="D23" s="6"/>
      <c r="E23" s="5"/>
    </row>
    <row r="24" spans="1:5" ht="16" x14ac:dyDescent="0.2">
      <c r="A24" t="s">
        <v>67</v>
      </c>
      <c r="B24" s="17" t="s">
        <v>123</v>
      </c>
      <c r="C24" s="17" t="s">
        <v>127</v>
      </c>
      <c r="D24" s="6"/>
      <c r="E24" s="5"/>
    </row>
    <row r="25" spans="1:5" ht="16" x14ac:dyDescent="0.2">
      <c r="A25" t="s">
        <v>67</v>
      </c>
      <c r="B25" s="17" t="s">
        <v>126</v>
      </c>
      <c r="C25" s="17" t="s">
        <v>139</v>
      </c>
      <c r="D25" s="6"/>
      <c r="E25" s="5"/>
    </row>
    <row r="26" spans="1:5" ht="16" x14ac:dyDescent="0.2">
      <c r="A26" s="40" t="s">
        <v>339</v>
      </c>
      <c r="B26" s="47" t="s">
        <v>62</v>
      </c>
      <c r="C26" s="47" t="s">
        <v>234</v>
      </c>
      <c r="D26" s="6"/>
      <c r="E26" s="5"/>
    </row>
    <row r="27" spans="1:5" ht="16" x14ac:dyDescent="0.2">
      <c r="A27" s="40" t="s">
        <v>339</v>
      </c>
      <c r="B27" s="47" t="s">
        <v>250</v>
      </c>
      <c r="C27" s="47" t="s">
        <v>235</v>
      </c>
      <c r="D27" s="6"/>
      <c r="E27" s="5"/>
    </row>
    <row r="28" spans="1:5" ht="16" x14ac:dyDescent="0.2">
      <c r="A28" s="40" t="s">
        <v>338</v>
      </c>
      <c r="B28" s="17">
        <v>0.5</v>
      </c>
      <c r="C28" s="14" t="s">
        <v>114</v>
      </c>
      <c r="D28" s="6"/>
      <c r="E28" s="5"/>
    </row>
    <row r="29" spans="1:5" ht="16" x14ac:dyDescent="0.2">
      <c r="A29" s="40" t="s">
        <v>338</v>
      </c>
      <c r="B29" s="17">
        <v>1</v>
      </c>
      <c r="C29" s="14" t="s">
        <v>115</v>
      </c>
      <c r="D29" s="6"/>
      <c r="E29" s="5"/>
    </row>
    <row r="30" spans="1:5" ht="16" x14ac:dyDescent="0.2">
      <c r="A30" s="40" t="s">
        <v>338</v>
      </c>
      <c r="B30" s="17">
        <v>2</v>
      </c>
      <c r="C30" s="14" t="s">
        <v>113</v>
      </c>
      <c r="D30" s="6"/>
      <c r="E30" s="5"/>
    </row>
    <row r="31" spans="1:5" s="38" customFormat="1" ht="21" x14ac:dyDescent="0.25">
      <c r="A31" s="38" t="s">
        <v>161</v>
      </c>
    </row>
    <row r="32" spans="1:5" s="38" customFormat="1" ht="21" x14ac:dyDescent="0.25">
      <c r="A32" s="38" t="s">
        <v>161</v>
      </c>
    </row>
    <row r="33" spans="1:5" s="38" customFormat="1" ht="21" x14ac:dyDescent="0.25">
      <c r="A33" s="38" t="s">
        <v>326</v>
      </c>
    </row>
    <row r="34" spans="1:5" ht="16" x14ac:dyDescent="0.2">
      <c r="A34" t="s">
        <v>104</v>
      </c>
      <c r="B34" s="58" t="s">
        <v>403</v>
      </c>
      <c r="C34" s="58" t="s">
        <v>502</v>
      </c>
      <c r="D34" s="6"/>
      <c r="E34" s="5"/>
    </row>
    <row r="35" spans="1:5" ht="16" x14ac:dyDescent="0.2">
      <c r="A35" t="s">
        <v>104</v>
      </c>
      <c r="B35" s="58" t="s">
        <v>503</v>
      </c>
      <c r="C35" s="14" t="s">
        <v>115</v>
      </c>
      <c r="D35" s="6"/>
      <c r="E35" s="5"/>
    </row>
    <row r="36" spans="1:5" ht="16" x14ac:dyDescent="0.2">
      <c r="A36" t="s">
        <v>104</v>
      </c>
      <c r="B36" s="58" t="s">
        <v>406</v>
      </c>
      <c r="C36" s="14" t="s">
        <v>113</v>
      </c>
      <c r="D36" s="6"/>
      <c r="E36" s="5"/>
    </row>
    <row r="37" spans="1:5" ht="16" x14ac:dyDescent="0.2">
      <c r="A37" t="s">
        <v>232</v>
      </c>
      <c r="B37" s="18" t="s">
        <v>250</v>
      </c>
      <c r="C37" s="18" t="s">
        <v>235</v>
      </c>
      <c r="D37" s="6"/>
      <c r="E37" s="5"/>
    </row>
    <row r="38" spans="1:5" ht="16" x14ac:dyDescent="0.2">
      <c r="A38" t="s">
        <v>232</v>
      </c>
      <c r="B38" s="18" t="s">
        <v>62</v>
      </c>
      <c r="C38" s="18" t="s">
        <v>234</v>
      </c>
      <c r="D38" s="6"/>
      <c r="E38" s="5"/>
    </row>
    <row r="39" spans="1:5" ht="16" x14ac:dyDescent="0.2">
      <c r="A39" t="s">
        <v>137</v>
      </c>
      <c r="B39" s="10" t="s">
        <v>58</v>
      </c>
      <c r="C39" s="17" t="s">
        <v>116</v>
      </c>
      <c r="D39" s="6"/>
      <c r="E39" s="6"/>
    </row>
    <row r="40" spans="1:5" ht="16" x14ac:dyDescent="0.2">
      <c r="A40" t="s">
        <v>137</v>
      </c>
      <c r="B40" s="21" t="s">
        <v>284</v>
      </c>
      <c r="C40" s="21" t="s">
        <v>288</v>
      </c>
      <c r="D40" s="6"/>
      <c r="E40" s="6"/>
    </row>
    <row r="41" spans="1:5" ht="16" x14ac:dyDescent="0.2">
      <c r="A41" t="s">
        <v>137</v>
      </c>
      <c r="B41" s="21" t="s">
        <v>287</v>
      </c>
      <c r="C41" s="21" t="s">
        <v>289</v>
      </c>
      <c r="D41" s="6"/>
      <c r="E41" s="6"/>
    </row>
    <row r="42" spans="1:5" ht="16" x14ac:dyDescent="0.2">
      <c r="A42" t="s">
        <v>71</v>
      </c>
      <c r="B42" s="53" t="s">
        <v>269</v>
      </c>
      <c r="C42" s="21" t="s">
        <v>270</v>
      </c>
      <c r="D42" s="6"/>
    </row>
    <row r="43" spans="1:5" ht="16" x14ac:dyDescent="0.2">
      <c r="A43" t="s">
        <v>71</v>
      </c>
      <c r="B43" s="53" t="s">
        <v>236</v>
      </c>
      <c r="C43" s="53" t="s">
        <v>420</v>
      </c>
      <c r="D43" s="6"/>
    </row>
    <row r="44" spans="1:5" ht="16" x14ac:dyDescent="0.2">
      <c r="A44" t="s">
        <v>71</v>
      </c>
      <c r="B44" s="53" t="s">
        <v>419</v>
      </c>
      <c r="C44" s="53" t="s">
        <v>421</v>
      </c>
      <c r="D44" s="6"/>
    </row>
    <row r="45" spans="1:5" ht="16" x14ac:dyDescent="0.2">
      <c r="A45" t="s">
        <v>71</v>
      </c>
      <c r="B45" s="53" t="s">
        <v>422</v>
      </c>
      <c r="C45" s="53" t="s">
        <v>423</v>
      </c>
      <c r="D45" s="6"/>
    </row>
    <row r="46" spans="1:5" ht="16" x14ac:dyDescent="0.2">
      <c r="A46" t="s">
        <v>237</v>
      </c>
      <c r="B46" s="18" t="s">
        <v>236</v>
      </c>
      <c r="C46" s="18" t="s">
        <v>239</v>
      </c>
      <c r="D46" s="6"/>
    </row>
    <row r="47" spans="1:5" ht="16" x14ac:dyDescent="0.2">
      <c r="A47" t="s">
        <v>237</v>
      </c>
      <c r="B47" s="18" t="s">
        <v>58</v>
      </c>
      <c r="C47" s="18" t="s">
        <v>240</v>
      </c>
      <c r="D47" s="6"/>
    </row>
    <row r="48" spans="1:5" ht="16" x14ac:dyDescent="0.2">
      <c r="A48" t="s">
        <v>257</v>
      </c>
      <c r="B48" s="18" t="s">
        <v>59</v>
      </c>
      <c r="C48" s="18" t="s">
        <v>264</v>
      </c>
      <c r="D48" s="6"/>
    </row>
    <row r="49" spans="1:5" ht="16" x14ac:dyDescent="0.2">
      <c r="A49" t="s">
        <v>257</v>
      </c>
      <c r="B49" s="21" t="s">
        <v>242</v>
      </c>
      <c r="C49" s="18" t="s">
        <v>265</v>
      </c>
      <c r="D49" s="6"/>
    </row>
    <row r="50" spans="1:5" ht="16" x14ac:dyDescent="0.2">
      <c r="A50" t="s">
        <v>257</v>
      </c>
      <c r="B50" s="21" t="s">
        <v>263</v>
      </c>
      <c r="C50" s="41" t="s">
        <v>337</v>
      </c>
      <c r="D50" s="6"/>
    </row>
    <row r="51" spans="1:5" x14ac:dyDescent="0.2">
      <c r="A51" t="s">
        <v>161</v>
      </c>
    </row>
    <row r="52" spans="1:5" ht="16" x14ac:dyDescent="0.2">
      <c r="A52" t="s">
        <v>72</v>
      </c>
      <c r="B52" s="10" t="s">
        <v>97</v>
      </c>
      <c r="C52" s="17" t="s">
        <v>129</v>
      </c>
      <c r="D52" s="6"/>
      <c r="E52" s="5"/>
    </row>
    <row r="53" spans="1:5" ht="16" x14ac:dyDescent="0.2">
      <c r="A53" t="s">
        <v>72</v>
      </c>
      <c r="B53" s="10" t="s">
        <v>98</v>
      </c>
      <c r="C53" s="17" t="s">
        <v>130</v>
      </c>
      <c r="D53" s="6"/>
      <c r="E53" s="5"/>
    </row>
    <row r="54" spans="1:5" ht="16" x14ac:dyDescent="0.2">
      <c r="A54" t="s">
        <v>72</v>
      </c>
      <c r="B54" s="10" t="s">
        <v>99</v>
      </c>
      <c r="C54" s="15" t="s">
        <v>118</v>
      </c>
      <c r="D54" s="6"/>
      <c r="E54" s="5"/>
    </row>
    <row r="55" spans="1:5" ht="16" x14ac:dyDescent="0.2">
      <c r="A55" t="s">
        <v>73</v>
      </c>
      <c r="B55" s="10" t="s">
        <v>61</v>
      </c>
      <c r="C55" s="10" t="s">
        <v>108</v>
      </c>
      <c r="D55" s="6"/>
      <c r="E55" s="5"/>
    </row>
    <row r="56" spans="1:5" ht="16" x14ac:dyDescent="0.2">
      <c r="A56" t="s">
        <v>73</v>
      </c>
      <c r="B56" s="10" t="s">
        <v>60</v>
      </c>
      <c r="C56" s="10" t="s">
        <v>111</v>
      </c>
      <c r="D56" s="6"/>
      <c r="E56" s="5"/>
    </row>
    <row r="57" spans="1:5" ht="16" x14ac:dyDescent="0.2">
      <c r="A57" t="s">
        <v>74</v>
      </c>
      <c r="B57" s="10" t="s">
        <v>61</v>
      </c>
      <c r="C57" s="10" t="s">
        <v>109</v>
      </c>
      <c r="D57" s="6"/>
      <c r="E57" s="5"/>
    </row>
    <row r="58" spans="1:5" ht="16" x14ac:dyDescent="0.2">
      <c r="A58" t="s">
        <v>74</v>
      </c>
      <c r="B58" s="10" t="s">
        <v>60</v>
      </c>
      <c r="C58" s="10" t="s">
        <v>110</v>
      </c>
      <c r="D58" s="6"/>
      <c r="E58" s="6"/>
    </row>
    <row r="59" spans="1:5" ht="18" x14ac:dyDescent="0.2">
      <c r="A59" t="s">
        <v>117</v>
      </c>
      <c r="B59" s="12" t="s">
        <v>258</v>
      </c>
      <c r="C59" s="18" t="s">
        <v>266</v>
      </c>
      <c r="D59" s="6"/>
      <c r="E59" s="12"/>
    </row>
    <row r="60" spans="1:5" ht="18" x14ac:dyDescent="0.2">
      <c r="A60" t="s">
        <v>117</v>
      </c>
      <c r="B60" s="12" t="s">
        <v>259</v>
      </c>
      <c r="C60" s="18" t="s">
        <v>267</v>
      </c>
      <c r="D60" s="6"/>
    </row>
    <row r="61" spans="1:5" ht="18" x14ac:dyDescent="0.2">
      <c r="A61" t="s">
        <v>117</v>
      </c>
      <c r="B61" s="12" t="s">
        <v>261</v>
      </c>
      <c r="C61" s="18" t="s">
        <v>268</v>
      </c>
      <c r="D61" s="6"/>
      <c r="E61" s="12"/>
    </row>
    <row r="62" spans="1:5" ht="16" x14ac:dyDescent="0.2">
      <c r="A62" t="s">
        <v>117</v>
      </c>
      <c r="B62" s="21" t="s">
        <v>260</v>
      </c>
      <c r="C62" s="21" t="s">
        <v>283</v>
      </c>
      <c r="D62" s="6"/>
    </row>
    <row r="63" spans="1:5" s="38" customFormat="1" ht="21" x14ac:dyDescent="0.25">
      <c r="A63" s="38" t="s">
        <v>161</v>
      </c>
    </row>
    <row r="64" spans="1:5" s="38" customFormat="1" ht="21" x14ac:dyDescent="0.25">
      <c r="A64" s="38" t="s">
        <v>326</v>
      </c>
    </row>
    <row r="65" spans="1:5" ht="16" x14ac:dyDescent="0.2">
      <c r="A65" t="s">
        <v>69</v>
      </c>
      <c r="B65" s="10" t="s">
        <v>59</v>
      </c>
      <c r="C65" s="53" t="s">
        <v>397</v>
      </c>
      <c r="D65" s="6"/>
      <c r="E65" s="5"/>
    </row>
    <row r="66" spans="1:5" ht="16" x14ac:dyDescent="0.2">
      <c r="A66" t="s">
        <v>69</v>
      </c>
      <c r="B66" s="10" t="s">
        <v>96</v>
      </c>
      <c r="C66" s="18" t="s">
        <v>241</v>
      </c>
      <c r="D66" s="6"/>
      <c r="E66" s="5"/>
    </row>
    <row r="67" spans="1:5" ht="16" x14ac:dyDescent="0.2">
      <c r="A67" t="s">
        <v>244</v>
      </c>
      <c r="B67" s="18" t="s">
        <v>242</v>
      </c>
      <c r="C67" s="18" t="s">
        <v>242</v>
      </c>
      <c r="D67" s="6"/>
      <c r="E67" s="5"/>
    </row>
    <row r="68" spans="1:5" ht="16" x14ac:dyDescent="0.2">
      <c r="A68" t="s">
        <v>244</v>
      </c>
      <c r="B68" s="18" t="s">
        <v>59</v>
      </c>
      <c r="C68" s="18" t="s">
        <v>59</v>
      </c>
      <c r="D68" s="6"/>
      <c r="E68" s="5"/>
    </row>
    <row r="69" spans="1:5" ht="16" x14ac:dyDescent="0.2">
      <c r="A69" t="s">
        <v>399</v>
      </c>
      <c r="B69" s="18" t="s">
        <v>242</v>
      </c>
      <c r="C69" s="18" t="s">
        <v>242</v>
      </c>
      <c r="D69" s="6"/>
      <c r="E69" s="53" t="s">
        <v>401</v>
      </c>
    </row>
    <row r="70" spans="1:5" ht="16" x14ac:dyDescent="0.2">
      <c r="A70" t="s">
        <v>399</v>
      </c>
      <c r="B70" s="18" t="s">
        <v>59</v>
      </c>
      <c r="C70" s="18" t="s">
        <v>59</v>
      </c>
      <c r="D70" s="6"/>
      <c r="E70" s="5"/>
    </row>
    <row r="71" spans="1:5" ht="16" x14ac:dyDescent="0.2">
      <c r="A71" t="s">
        <v>70</v>
      </c>
      <c r="B71" s="14" t="s">
        <v>59</v>
      </c>
      <c r="C71" s="25" t="s">
        <v>301</v>
      </c>
      <c r="D71" s="6"/>
      <c r="E71" s="6"/>
    </row>
    <row r="72" spans="1:5" ht="16" x14ac:dyDescent="0.2">
      <c r="A72" t="s">
        <v>70</v>
      </c>
      <c r="B72" s="10" t="s">
        <v>56</v>
      </c>
      <c r="C72" s="17" t="s">
        <v>142</v>
      </c>
      <c r="D72" s="6"/>
      <c r="E72" s="6"/>
    </row>
    <row r="73" spans="1:5" ht="16" x14ac:dyDescent="0.2">
      <c r="A73" t="s">
        <v>70</v>
      </c>
      <c r="B73" s="10" t="s">
        <v>55</v>
      </c>
      <c r="C73" s="17" t="s">
        <v>143</v>
      </c>
      <c r="D73" s="6"/>
      <c r="E73" s="6"/>
    </row>
    <row r="74" spans="1:5" s="40" customFormat="1" ht="16" x14ac:dyDescent="0.2">
      <c r="A74" s="40" t="s">
        <v>398</v>
      </c>
      <c r="B74" s="13" t="s">
        <v>403</v>
      </c>
      <c r="C74" s="13" t="s">
        <v>407</v>
      </c>
      <c r="D74" s="13"/>
      <c r="E74" s="13"/>
    </row>
    <row r="75" spans="1:5" ht="16" x14ac:dyDescent="0.2">
      <c r="A75" s="40" t="s">
        <v>398</v>
      </c>
      <c r="B75" s="53" t="s">
        <v>406</v>
      </c>
      <c r="C75" s="53" t="s">
        <v>409</v>
      </c>
      <c r="D75" s="6"/>
      <c r="E75" s="6"/>
    </row>
    <row r="76" spans="1:5" ht="16" x14ac:dyDescent="0.2">
      <c r="A76" s="40" t="s">
        <v>398</v>
      </c>
      <c r="B76" s="53" t="s">
        <v>427</v>
      </c>
      <c r="C76" s="53" t="s">
        <v>428</v>
      </c>
      <c r="D76" s="6"/>
      <c r="E76" s="53" t="s">
        <v>430</v>
      </c>
    </row>
    <row r="77" spans="1:5" ht="16" x14ac:dyDescent="0.2">
      <c r="A77" t="s">
        <v>57</v>
      </c>
      <c r="B77" s="10" t="s">
        <v>94</v>
      </c>
      <c r="C77" s="17" t="s">
        <v>141</v>
      </c>
      <c r="D77" s="6"/>
      <c r="E77" s="8"/>
    </row>
    <row r="78" spans="1:5" ht="16" x14ac:dyDescent="0.2">
      <c r="A78" t="s">
        <v>57</v>
      </c>
      <c r="B78" s="28" t="s">
        <v>315</v>
      </c>
      <c r="C78" s="53" t="s">
        <v>429</v>
      </c>
      <c r="D78" s="6"/>
      <c r="E78" s="8"/>
    </row>
    <row r="79" spans="1:5" ht="16" x14ac:dyDescent="0.2">
      <c r="A79" t="s">
        <v>317</v>
      </c>
      <c r="B79" s="28" t="s">
        <v>242</v>
      </c>
      <c r="C79" s="28" t="s">
        <v>319</v>
      </c>
      <c r="D79" s="6"/>
      <c r="E79" s="8"/>
    </row>
    <row r="80" spans="1:5" ht="16" x14ac:dyDescent="0.2">
      <c r="A80" t="s">
        <v>317</v>
      </c>
      <c r="B80" s="28" t="s">
        <v>59</v>
      </c>
      <c r="C80" s="28" t="s">
        <v>320</v>
      </c>
      <c r="D80" s="6"/>
      <c r="E80" s="8"/>
    </row>
    <row r="81" spans="1:5" ht="16" x14ac:dyDescent="0.2">
      <c r="A81" s="6"/>
      <c r="B81" s="6"/>
      <c r="C81" s="6"/>
      <c r="D81" s="6"/>
      <c r="E81" s="6"/>
    </row>
    <row r="82" spans="1:5" ht="16" x14ac:dyDescent="0.2">
      <c r="A82" s="6"/>
      <c r="B82" s="6"/>
      <c r="C82" s="6"/>
      <c r="D82" s="6"/>
      <c r="E82" s="6"/>
    </row>
    <row r="83" spans="1:5" ht="16" x14ac:dyDescent="0.2">
      <c r="A83" s="6"/>
      <c r="B83" s="6"/>
      <c r="C83" s="6"/>
      <c r="D83" s="6"/>
      <c r="E83" s="6"/>
    </row>
    <row r="84" spans="1:5" ht="16" x14ac:dyDescent="0.2">
      <c r="A84" s="6"/>
      <c r="B84" s="6"/>
      <c r="C84" s="6"/>
      <c r="D84" s="6"/>
      <c r="E84" s="6"/>
    </row>
    <row r="85" spans="1:5" ht="16" x14ac:dyDescent="0.2">
      <c r="A85" s="6"/>
      <c r="B85" s="6"/>
      <c r="C85" s="6"/>
      <c r="D85" s="6"/>
      <c r="E85" s="6"/>
    </row>
    <row r="86" spans="1:5" ht="16" x14ac:dyDescent="0.2">
      <c r="A86" s="6"/>
      <c r="B86" s="6"/>
      <c r="C86" s="6"/>
      <c r="D86" s="6"/>
      <c r="E86" s="6"/>
    </row>
    <row r="87" spans="1:5" ht="16" x14ac:dyDescent="0.2">
      <c r="A87" s="6"/>
      <c r="B87" s="6"/>
      <c r="C87" s="6"/>
      <c r="D87" s="6"/>
      <c r="E87" s="6"/>
    </row>
    <row r="88" spans="1:5" ht="16" x14ac:dyDescent="0.2">
      <c r="A88" s="6"/>
      <c r="B88" s="6"/>
      <c r="C88" s="6"/>
      <c r="D88" s="6"/>
      <c r="E88" s="6"/>
    </row>
    <row r="89" spans="1:5" ht="16" x14ac:dyDescent="0.2">
      <c r="A89" s="6"/>
      <c r="B89" s="6"/>
      <c r="C89" s="6"/>
      <c r="D89" s="6"/>
      <c r="E89" s="6"/>
    </row>
    <row r="90" spans="1:5" ht="16" x14ac:dyDescent="0.2">
      <c r="A90" s="6"/>
      <c r="C90" s="6"/>
      <c r="D90" s="6"/>
      <c r="E90" s="6"/>
    </row>
    <row r="91" spans="1:5" ht="16" x14ac:dyDescent="0.2">
      <c r="E91" s="6"/>
    </row>
    <row r="92" spans="1:5" ht="16" x14ac:dyDescent="0.2">
      <c r="E92" s="6"/>
    </row>
    <row r="93" spans="1:5" ht="16" x14ac:dyDescent="0.2">
      <c r="E93" s="6"/>
    </row>
    <row r="94" spans="1:5" ht="16" x14ac:dyDescent="0.2">
      <c r="E94" s="6"/>
    </row>
  </sheetData>
  <phoneticPr fontId="3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F60AF-03FF-3647-953E-8D8CDE543E1C}">
  <dimension ref="A1:N209"/>
  <sheetViews>
    <sheetView topLeftCell="L111" zoomScale="94" zoomScaleNormal="94" workbookViewId="0">
      <selection activeCell="F122" sqref="F122:X158"/>
    </sheetView>
  </sheetViews>
  <sheetFormatPr baseColWidth="10" defaultRowHeight="16" x14ac:dyDescent="0.2"/>
  <cols>
    <col min="1" max="1" width="118.6640625" style="19" customWidth="1"/>
    <col min="2" max="16384" width="10.83203125" style="19"/>
  </cols>
  <sheetData>
    <row r="1" spans="1:12" s="32" customFormat="1" x14ac:dyDescent="0.2">
      <c r="A1" s="32" t="s">
        <v>144</v>
      </c>
      <c r="B1" s="32" t="s">
        <v>145</v>
      </c>
      <c r="C1" s="32" t="s">
        <v>146</v>
      </c>
      <c r="D1" s="32" t="s">
        <v>147</v>
      </c>
      <c r="E1" s="32" t="s">
        <v>12</v>
      </c>
      <c r="F1" s="32" t="s">
        <v>148</v>
      </c>
      <c r="G1" s="32" t="s">
        <v>149</v>
      </c>
      <c r="H1" s="32" t="s">
        <v>9</v>
      </c>
      <c r="I1" s="32" t="s">
        <v>1</v>
      </c>
      <c r="J1" s="32" t="s">
        <v>150</v>
      </c>
      <c r="K1" s="32" t="s">
        <v>151</v>
      </c>
      <c r="L1" s="32" t="s">
        <v>152</v>
      </c>
    </row>
    <row r="2" spans="1:12" s="34" customFormat="1" ht="21" x14ac:dyDescent="0.25">
      <c r="A2" s="33" t="s">
        <v>153</v>
      </c>
    </row>
    <row r="3" spans="1:12" s="34" customFormat="1" x14ac:dyDescent="0.2">
      <c r="A3" s="34" t="s">
        <v>154</v>
      </c>
      <c r="D3" s="35">
        <v>1</v>
      </c>
      <c r="E3" s="34" t="s">
        <v>155</v>
      </c>
      <c r="F3" s="34">
        <v>1</v>
      </c>
      <c r="G3" s="34" t="s">
        <v>156</v>
      </c>
      <c r="H3" s="34" t="s">
        <v>292</v>
      </c>
    </row>
    <row r="4" spans="1:12" s="34" customFormat="1" x14ac:dyDescent="0.2">
      <c r="A4" s="34" t="s">
        <v>442</v>
      </c>
      <c r="D4" s="35">
        <v>1</v>
      </c>
      <c r="E4" s="34" t="s">
        <v>155</v>
      </c>
      <c r="F4" s="34">
        <v>2</v>
      </c>
      <c r="H4" s="34" t="s">
        <v>292</v>
      </c>
    </row>
    <row r="5" spans="1:12" s="34" customFormat="1" x14ac:dyDescent="0.2">
      <c r="A5" s="34" t="s">
        <v>443</v>
      </c>
      <c r="D5" s="35">
        <v>1</v>
      </c>
      <c r="E5" s="34" t="s">
        <v>155</v>
      </c>
      <c r="F5" s="34">
        <v>4</v>
      </c>
      <c r="H5" s="34" t="s">
        <v>292</v>
      </c>
    </row>
    <row r="6" spans="1:12" s="34" customFormat="1" x14ac:dyDescent="0.2">
      <c r="A6" s="34" t="s">
        <v>157</v>
      </c>
      <c r="D6" s="35">
        <v>1</v>
      </c>
      <c r="E6" s="34" t="s">
        <v>155</v>
      </c>
      <c r="F6" s="34">
        <v>3</v>
      </c>
      <c r="H6" s="34" t="s">
        <v>292</v>
      </c>
    </row>
    <row r="7" spans="1:12" s="34" customFormat="1" x14ac:dyDescent="0.2">
      <c r="A7" s="34" t="s">
        <v>444</v>
      </c>
      <c r="D7" s="35">
        <v>1</v>
      </c>
      <c r="E7" s="34" t="s">
        <v>155</v>
      </c>
      <c r="F7" s="34">
        <v>6</v>
      </c>
      <c r="H7" s="34" t="s">
        <v>292</v>
      </c>
    </row>
    <row r="8" spans="1:12" s="34" customFormat="1" x14ac:dyDescent="0.2">
      <c r="A8" s="34" t="s">
        <v>159</v>
      </c>
      <c r="D8" s="35">
        <v>1</v>
      </c>
      <c r="E8" s="34" t="s">
        <v>155</v>
      </c>
      <c r="F8" s="34">
        <v>5</v>
      </c>
      <c r="H8" s="34" t="s">
        <v>292</v>
      </c>
    </row>
    <row r="9" spans="1:12" s="34" customFormat="1" x14ac:dyDescent="0.2">
      <c r="A9" s="34" t="s">
        <v>160</v>
      </c>
      <c r="D9" s="35">
        <v>1</v>
      </c>
      <c r="E9" s="34" t="s">
        <v>155</v>
      </c>
      <c r="F9" s="34">
        <v>7</v>
      </c>
      <c r="H9" s="34" t="s">
        <v>292</v>
      </c>
    </row>
    <row r="10" spans="1:12" s="34" customFormat="1" x14ac:dyDescent="0.2">
      <c r="A10" s="34" t="s">
        <v>161</v>
      </c>
    </row>
    <row r="11" spans="1:12" s="34" customFormat="1" ht="21" x14ac:dyDescent="0.25">
      <c r="A11" s="33" t="s">
        <v>162</v>
      </c>
    </row>
    <row r="12" spans="1:12" s="34" customFormat="1" x14ac:dyDescent="0.2">
      <c r="A12" s="34" t="s">
        <v>163</v>
      </c>
      <c r="D12" s="35">
        <v>1</v>
      </c>
      <c r="E12" s="34" t="s">
        <v>155</v>
      </c>
      <c r="F12" s="34">
        <v>1</v>
      </c>
      <c r="G12" s="34" t="s">
        <v>156</v>
      </c>
      <c r="H12" s="34" t="s">
        <v>203</v>
      </c>
    </row>
    <row r="13" spans="1:12" s="34" customFormat="1" x14ac:dyDescent="0.2">
      <c r="A13" s="34" t="s">
        <v>164</v>
      </c>
      <c r="D13" s="35">
        <v>1</v>
      </c>
      <c r="E13" s="34" t="s">
        <v>155</v>
      </c>
      <c r="F13" s="34">
        <v>2</v>
      </c>
      <c r="H13" s="34" t="s">
        <v>203</v>
      </c>
    </row>
    <row r="14" spans="1:12" s="34" customFormat="1" x14ac:dyDescent="0.2">
      <c r="A14" s="34" t="s">
        <v>165</v>
      </c>
      <c r="D14" s="35">
        <v>1</v>
      </c>
      <c r="E14" s="34" t="s">
        <v>155</v>
      </c>
      <c r="F14" s="34">
        <v>5</v>
      </c>
      <c r="H14" s="34" t="s">
        <v>203</v>
      </c>
    </row>
    <row r="15" spans="1:12" s="34" customFormat="1" x14ac:dyDescent="0.2">
      <c r="A15" s="34" t="s">
        <v>166</v>
      </c>
      <c r="D15" s="35">
        <v>1</v>
      </c>
      <c r="E15" s="34" t="s">
        <v>155</v>
      </c>
      <c r="F15" s="34">
        <v>3</v>
      </c>
      <c r="H15" s="34" t="s">
        <v>203</v>
      </c>
    </row>
    <row r="16" spans="1:12" s="34" customFormat="1" x14ac:dyDescent="0.2">
      <c r="A16" s="34" t="s">
        <v>167</v>
      </c>
      <c r="D16" s="35">
        <v>1</v>
      </c>
      <c r="E16" s="34" t="s">
        <v>155</v>
      </c>
      <c r="F16" s="34">
        <v>4</v>
      </c>
      <c r="H16" s="34" t="s">
        <v>203</v>
      </c>
    </row>
    <row r="17" spans="1:14" s="34" customFormat="1" x14ac:dyDescent="0.2">
      <c r="A17" s="34" t="s">
        <v>168</v>
      </c>
      <c r="D17" s="35">
        <v>1</v>
      </c>
      <c r="E17" s="34" t="s">
        <v>155</v>
      </c>
      <c r="F17" s="34">
        <v>6</v>
      </c>
      <c r="H17" s="34" t="s">
        <v>203</v>
      </c>
    </row>
    <row r="18" spans="1:14" s="34" customFormat="1" x14ac:dyDescent="0.2">
      <c r="A18" s="34" t="s">
        <v>161</v>
      </c>
    </row>
    <row r="19" spans="1:14" s="34" customFormat="1" ht="21" x14ac:dyDescent="0.25">
      <c r="A19" s="33" t="s">
        <v>169</v>
      </c>
    </row>
    <row r="20" spans="1:14" s="34" customFormat="1" x14ac:dyDescent="0.2">
      <c r="A20" s="34" t="s">
        <v>344</v>
      </c>
      <c r="D20" s="35">
        <v>1</v>
      </c>
      <c r="E20" s="34" t="s">
        <v>155</v>
      </c>
      <c r="F20" s="34">
        <v>2</v>
      </c>
      <c r="G20" s="34" t="s">
        <v>345</v>
      </c>
      <c r="H20" s="34" t="s">
        <v>197</v>
      </c>
    </row>
    <row r="21" spans="1:14" s="34" customFormat="1" x14ac:dyDescent="0.2">
      <c r="A21" s="34" t="s">
        <v>170</v>
      </c>
      <c r="D21" s="35">
        <v>1</v>
      </c>
      <c r="E21" s="34" t="s">
        <v>155</v>
      </c>
      <c r="F21" s="34">
        <v>1</v>
      </c>
      <c r="G21" s="34" t="s">
        <v>156</v>
      </c>
      <c r="H21" s="34" t="s">
        <v>197</v>
      </c>
    </row>
    <row r="22" spans="1:14" s="34" customFormat="1" x14ac:dyDescent="0.2">
      <c r="A22" s="34" t="s">
        <v>171</v>
      </c>
      <c r="D22" s="35">
        <v>1</v>
      </c>
      <c r="E22" s="34" t="s">
        <v>155</v>
      </c>
      <c r="F22" s="34">
        <v>3</v>
      </c>
      <c r="G22" s="34" t="s">
        <v>172</v>
      </c>
      <c r="H22" s="34" t="s">
        <v>197</v>
      </c>
    </row>
    <row r="23" spans="1:14" s="34" customFormat="1" x14ac:dyDescent="0.2">
      <c r="A23" s="34" t="s">
        <v>173</v>
      </c>
      <c r="D23" s="35">
        <v>1</v>
      </c>
      <c r="E23" s="34" t="s">
        <v>155</v>
      </c>
      <c r="F23" s="34">
        <v>4</v>
      </c>
      <c r="G23" s="34" t="s">
        <v>365</v>
      </c>
      <c r="H23" s="34" t="s">
        <v>197</v>
      </c>
    </row>
    <row r="24" spans="1:14" s="34" customFormat="1" x14ac:dyDescent="0.2">
      <c r="A24" s="34" t="s">
        <v>243</v>
      </c>
      <c r="D24" s="35">
        <v>1</v>
      </c>
      <c r="E24" s="34" t="s">
        <v>155</v>
      </c>
      <c r="F24" s="34">
        <v>5</v>
      </c>
      <c r="H24" s="34" t="s">
        <v>197</v>
      </c>
    </row>
    <row r="25" spans="1:14" s="34" customFormat="1" x14ac:dyDescent="0.2">
      <c r="A25" s="34" t="s">
        <v>161</v>
      </c>
    </row>
    <row r="26" spans="1:14" s="34" customFormat="1" ht="21" x14ac:dyDescent="0.25">
      <c r="A26" s="33" t="s">
        <v>174</v>
      </c>
    </row>
    <row r="27" spans="1:14" s="34" customFormat="1" x14ac:dyDescent="0.2">
      <c r="A27" s="34" t="s">
        <v>175</v>
      </c>
      <c r="D27" s="35">
        <v>1</v>
      </c>
      <c r="E27" s="34" t="s">
        <v>155</v>
      </c>
      <c r="F27" s="34">
        <v>1</v>
      </c>
      <c r="G27" s="34" t="s">
        <v>156</v>
      </c>
      <c r="H27" s="34" t="s">
        <v>293</v>
      </c>
    </row>
    <row r="28" spans="1:14" s="34" customFormat="1" x14ac:dyDescent="0.2">
      <c r="A28" s="34" t="s">
        <v>176</v>
      </c>
      <c r="D28" s="35">
        <v>1</v>
      </c>
      <c r="E28" s="34" t="s">
        <v>155</v>
      </c>
      <c r="F28" s="34">
        <v>2</v>
      </c>
      <c r="H28" s="34" t="s">
        <v>293</v>
      </c>
    </row>
    <row r="29" spans="1:14" s="34" customFormat="1" x14ac:dyDescent="0.2">
      <c r="A29" s="34" t="s">
        <v>177</v>
      </c>
      <c r="D29" s="35">
        <v>1</v>
      </c>
      <c r="E29" s="34" t="s">
        <v>155</v>
      </c>
      <c r="F29" s="34">
        <v>4</v>
      </c>
      <c r="H29" s="34" t="s">
        <v>293</v>
      </c>
    </row>
    <row r="30" spans="1:14" s="34" customFormat="1" x14ac:dyDescent="0.2">
      <c r="A30" s="34" t="s">
        <v>245</v>
      </c>
      <c r="D30" s="35">
        <v>1</v>
      </c>
      <c r="E30" s="34" t="s">
        <v>155</v>
      </c>
      <c r="F30" s="34">
        <v>3</v>
      </c>
      <c r="H30" s="34" t="s">
        <v>293</v>
      </c>
    </row>
    <row r="31" spans="1:14" s="34" customFormat="1" x14ac:dyDescent="0.2">
      <c r="A31" s="34" t="s">
        <v>178</v>
      </c>
      <c r="G31" s="34" t="s">
        <v>179</v>
      </c>
      <c r="H31" s="34" t="s">
        <v>467</v>
      </c>
      <c r="I31" s="34" t="s">
        <v>179</v>
      </c>
      <c r="J31" s="34" t="s">
        <v>179</v>
      </c>
      <c r="K31" s="34" t="s">
        <v>179</v>
      </c>
      <c r="L31" s="34" t="s">
        <v>179</v>
      </c>
      <c r="M31" s="34" t="s">
        <v>179</v>
      </c>
      <c r="N31" s="34" t="s">
        <v>179</v>
      </c>
    </row>
    <row r="32" spans="1:14" s="34" customFormat="1" x14ac:dyDescent="0.2">
      <c r="A32" s="34" t="s">
        <v>179</v>
      </c>
      <c r="D32" s="35">
        <v>1</v>
      </c>
      <c r="E32" s="34" t="s">
        <v>155</v>
      </c>
      <c r="F32" s="34">
        <v>5</v>
      </c>
      <c r="H32" s="34" t="s">
        <v>293</v>
      </c>
    </row>
    <row r="33" spans="1:8" s="34" customFormat="1" x14ac:dyDescent="0.2">
      <c r="A33" s="34" t="s">
        <v>161</v>
      </c>
    </row>
    <row r="34" spans="1:8" s="34" customFormat="1" ht="21" x14ac:dyDescent="0.25">
      <c r="A34" s="33" t="s">
        <v>447</v>
      </c>
    </row>
    <row r="35" spans="1:8" s="34" customFormat="1" x14ac:dyDescent="0.2">
      <c r="A35" s="34" t="s">
        <v>180</v>
      </c>
      <c r="D35" s="35">
        <v>1</v>
      </c>
      <c r="E35" s="34" t="s">
        <v>155</v>
      </c>
      <c r="F35" s="34">
        <v>1</v>
      </c>
      <c r="G35" s="34" t="s">
        <v>156</v>
      </c>
      <c r="H35" s="34" t="s">
        <v>468</v>
      </c>
    </row>
    <row r="36" spans="1:8" s="34" customFormat="1" x14ac:dyDescent="0.2">
      <c r="A36" s="34" t="s">
        <v>181</v>
      </c>
      <c r="D36" s="35">
        <v>1</v>
      </c>
      <c r="E36" s="34" t="s">
        <v>155</v>
      </c>
      <c r="F36" s="34">
        <v>2</v>
      </c>
      <c r="H36" s="34" t="s">
        <v>468</v>
      </c>
    </row>
    <row r="37" spans="1:8" s="34" customFormat="1" x14ac:dyDescent="0.2">
      <c r="A37" s="34" t="s">
        <v>182</v>
      </c>
      <c r="D37" s="35">
        <v>1</v>
      </c>
      <c r="E37" s="34" t="s">
        <v>155</v>
      </c>
      <c r="F37" s="34">
        <v>5</v>
      </c>
      <c r="H37" s="34" t="s">
        <v>468</v>
      </c>
    </row>
    <row r="38" spans="1:8" s="34" customFormat="1" x14ac:dyDescent="0.2">
      <c r="A38" s="34" t="s">
        <v>183</v>
      </c>
      <c r="D38" s="35">
        <v>1</v>
      </c>
      <c r="E38" s="34" t="s">
        <v>155</v>
      </c>
      <c r="F38" s="62">
        <v>4</v>
      </c>
      <c r="H38" s="34" t="s">
        <v>468</v>
      </c>
    </row>
    <row r="39" spans="1:8" s="34" customFormat="1" x14ac:dyDescent="0.2">
      <c r="A39" s="34" t="s">
        <v>184</v>
      </c>
      <c r="D39" s="35">
        <v>1</v>
      </c>
      <c r="E39" s="34" t="s">
        <v>155</v>
      </c>
      <c r="F39" s="34">
        <v>3</v>
      </c>
      <c r="H39" s="34" t="s">
        <v>468</v>
      </c>
    </row>
    <row r="40" spans="1:8" s="34" customFormat="1" x14ac:dyDescent="0.2">
      <c r="A40" s="34" t="s">
        <v>247</v>
      </c>
      <c r="D40" s="35">
        <v>1</v>
      </c>
      <c r="E40" s="34" t="s">
        <v>155</v>
      </c>
      <c r="F40" s="34">
        <v>6</v>
      </c>
      <c r="H40" s="34" t="s">
        <v>468</v>
      </c>
    </row>
    <row r="41" spans="1:8" s="34" customFormat="1" x14ac:dyDescent="0.2">
      <c r="A41" s="34" t="s">
        <v>161</v>
      </c>
    </row>
    <row r="42" spans="1:8" s="34" customFormat="1" ht="21" x14ac:dyDescent="0.25">
      <c r="A42" s="33" t="s">
        <v>185</v>
      </c>
    </row>
    <row r="43" spans="1:8" s="34" customFormat="1" x14ac:dyDescent="0.2">
      <c r="A43" s="34" t="s">
        <v>186</v>
      </c>
      <c r="D43" s="35">
        <v>1</v>
      </c>
      <c r="E43" s="34" t="s">
        <v>155</v>
      </c>
      <c r="F43" s="34">
        <v>1</v>
      </c>
      <c r="G43" s="34" t="s">
        <v>156</v>
      </c>
      <c r="H43" s="34" t="s">
        <v>207</v>
      </c>
    </row>
    <row r="44" spans="1:8" s="34" customFormat="1" x14ac:dyDescent="0.2">
      <c r="A44" s="34" t="s">
        <v>187</v>
      </c>
      <c r="D44" s="35">
        <v>1</v>
      </c>
      <c r="E44" s="34" t="s">
        <v>155</v>
      </c>
      <c r="F44" s="34">
        <v>2</v>
      </c>
      <c r="G44" s="34" t="s">
        <v>188</v>
      </c>
      <c r="H44" s="34" t="s">
        <v>207</v>
      </c>
    </row>
    <row r="45" spans="1:8" s="34" customFormat="1" x14ac:dyDescent="0.2">
      <c r="A45" s="34" t="s">
        <v>189</v>
      </c>
      <c r="D45" s="35">
        <v>1</v>
      </c>
      <c r="E45" s="34" t="s">
        <v>155</v>
      </c>
      <c r="F45" s="34">
        <v>4</v>
      </c>
      <c r="H45" s="34" t="s">
        <v>207</v>
      </c>
    </row>
    <row r="46" spans="1:8" s="34" customFormat="1" x14ac:dyDescent="0.2">
      <c r="A46" s="34" t="s">
        <v>190</v>
      </c>
      <c r="D46" s="35">
        <v>1</v>
      </c>
      <c r="E46" s="34" t="s">
        <v>155</v>
      </c>
      <c r="F46" s="34">
        <v>3</v>
      </c>
      <c r="H46" s="34" t="s">
        <v>207</v>
      </c>
    </row>
    <row r="47" spans="1:8" s="34" customFormat="1" x14ac:dyDescent="0.2">
      <c r="A47" s="34" t="s">
        <v>248</v>
      </c>
      <c r="D47" s="35">
        <v>1</v>
      </c>
      <c r="E47" s="34" t="s">
        <v>155</v>
      </c>
      <c r="F47" s="34">
        <v>5</v>
      </c>
      <c r="H47" s="34" t="s">
        <v>207</v>
      </c>
    </row>
    <row r="48" spans="1:8" s="34" customFormat="1" x14ac:dyDescent="0.2">
      <c r="A48" s="34" t="s">
        <v>161</v>
      </c>
    </row>
    <row r="49" spans="1:8" s="34" customFormat="1" ht="21" x14ac:dyDescent="0.25">
      <c r="A49" s="33" t="s">
        <v>448</v>
      </c>
    </row>
    <row r="50" spans="1:8" s="34" customFormat="1" x14ac:dyDescent="0.2">
      <c r="A50" s="34" t="s">
        <v>191</v>
      </c>
      <c r="D50" s="35">
        <v>1</v>
      </c>
      <c r="E50" s="34" t="s">
        <v>155</v>
      </c>
      <c r="F50" s="34">
        <v>1</v>
      </c>
      <c r="G50" s="34" t="s">
        <v>156</v>
      </c>
      <c r="H50" s="34" t="s">
        <v>294</v>
      </c>
    </row>
    <row r="51" spans="1:8" s="34" customFormat="1" x14ac:dyDescent="0.2">
      <c r="A51" s="34" t="s">
        <v>369</v>
      </c>
      <c r="D51" s="35">
        <v>1</v>
      </c>
      <c r="E51" s="34" t="s">
        <v>155</v>
      </c>
      <c r="F51" s="34">
        <v>2</v>
      </c>
      <c r="G51" s="34" t="s">
        <v>156</v>
      </c>
      <c r="H51" s="34" t="s">
        <v>294</v>
      </c>
    </row>
    <row r="52" spans="1:8" s="34" customFormat="1" x14ac:dyDescent="0.2">
      <c r="A52" s="34" t="s">
        <v>192</v>
      </c>
      <c r="D52" s="35">
        <v>1</v>
      </c>
      <c r="E52" s="34" t="s">
        <v>155</v>
      </c>
      <c r="F52" s="34">
        <v>3</v>
      </c>
      <c r="H52" s="34" t="s">
        <v>294</v>
      </c>
    </row>
    <row r="53" spans="1:8" s="34" customFormat="1" x14ac:dyDescent="0.2">
      <c r="A53" s="34" t="s">
        <v>193</v>
      </c>
      <c r="D53" s="35">
        <v>1</v>
      </c>
      <c r="E53" s="34" t="s">
        <v>155</v>
      </c>
      <c r="F53" s="34">
        <v>7</v>
      </c>
      <c r="H53" s="34" t="s">
        <v>294</v>
      </c>
    </row>
    <row r="54" spans="1:8" s="34" customFormat="1" x14ac:dyDescent="0.2">
      <c r="A54" s="34" t="s">
        <v>194</v>
      </c>
      <c r="D54" s="35">
        <v>1</v>
      </c>
      <c r="E54" s="34" t="s">
        <v>155</v>
      </c>
      <c r="F54" s="34">
        <v>4</v>
      </c>
      <c r="H54" s="34" t="s">
        <v>294</v>
      </c>
    </row>
    <row r="55" spans="1:8" s="34" customFormat="1" x14ac:dyDescent="0.2">
      <c r="A55" s="34" t="s">
        <v>195</v>
      </c>
      <c r="D55" s="35">
        <v>1</v>
      </c>
      <c r="E55" s="34" t="s">
        <v>155</v>
      </c>
      <c r="F55" s="34">
        <v>5</v>
      </c>
      <c r="H55" s="34" t="s">
        <v>294</v>
      </c>
    </row>
    <row r="56" spans="1:8" s="34" customFormat="1" x14ac:dyDescent="0.2">
      <c r="A56" s="34" t="s">
        <v>246</v>
      </c>
      <c r="D56" s="35">
        <v>1</v>
      </c>
      <c r="E56" s="34" t="s">
        <v>155</v>
      </c>
      <c r="F56" s="34">
        <v>6</v>
      </c>
      <c r="H56" s="34" t="s">
        <v>294</v>
      </c>
    </row>
    <row r="57" spans="1:8" s="34" customFormat="1" x14ac:dyDescent="0.2">
      <c r="A57" s="34" t="s">
        <v>161</v>
      </c>
    </row>
    <row r="58" spans="1:8" s="34" customFormat="1" ht="21" x14ac:dyDescent="0.25">
      <c r="A58" s="33" t="s">
        <v>449</v>
      </c>
    </row>
    <row r="59" spans="1:8" s="34" customFormat="1" ht="21" x14ac:dyDescent="0.25">
      <c r="A59" s="33" t="s">
        <v>372</v>
      </c>
      <c r="D59" s="35">
        <v>1</v>
      </c>
      <c r="E59" s="34" t="s">
        <v>155</v>
      </c>
      <c r="F59" s="34">
        <v>1</v>
      </c>
      <c r="H59" s="34" t="s">
        <v>291</v>
      </c>
    </row>
    <row r="60" spans="1:8" s="34" customFormat="1" x14ac:dyDescent="0.2">
      <c r="A60" s="34" t="s">
        <v>271</v>
      </c>
      <c r="D60" s="35">
        <v>1</v>
      </c>
      <c r="E60" s="34" t="s">
        <v>155</v>
      </c>
      <c r="F60" s="34">
        <v>4</v>
      </c>
      <c r="G60" s="34" t="s">
        <v>272</v>
      </c>
      <c r="H60" s="34" t="s">
        <v>291</v>
      </c>
    </row>
    <row r="61" spans="1:8" s="34" customFormat="1" x14ac:dyDescent="0.2">
      <c r="A61" s="34" t="s">
        <v>273</v>
      </c>
      <c r="D61" s="35">
        <v>1</v>
      </c>
      <c r="E61" s="34" t="s">
        <v>155</v>
      </c>
      <c r="F61" s="34">
        <v>5</v>
      </c>
      <c r="H61" s="34" t="s">
        <v>291</v>
      </c>
    </row>
    <row r="62" spans="1:8" s="44" customFormat="1" x14ac:dyDescent="0.2">
      <c r="A62" s="44" t="s">
        <v>343</v>
      </c>
      <c r="D62" s="45">
        <v>1</v>
      </c>
      <c r="E62" s="13" t="s">
        <v>155</v>
      </c>
      <c r="F62" s="13">
        <v>2</v>
      </c>
      <c r="G62" s="13"/>
      <c r="H62" s="34" t="s">
        <v>291</v>
      </c>
    </row>
    <row r="63" spans="1:8" s="44" customFormat="1" x14ac:dyDescent="0.2">
      <c r="A63" s="44" t="s">
        <v>373</v>
      </c>
      <c r="D63" s="45">
        <v>1</v>
      </c>
      <c r="E63" s="13" t="s">
        <v>155</v>
      </c>
      <c r="F63" s="13">
        <v>3</v>
      </c>
      <c r="G63" s="13"/>
      <c r="H63" s="34" t="s">
        <v>291</v>
      </c>
    </row>
    <row r="64" spans="1:8" s="34" customFormat="1" x14ac:dyDescent="0.2">
      <c r="A64" s="34" t="s">
        <v>161</v>
      </c>
    </row>
    <row r="65" spans="1:8" s="34" customFormat="1" ht="21" x14ac:dyDescent="0.25">
      <c r="A65" s="33" t="s">
        <v>274</v>
      </c>
    </row>
    <row r="66" spans="1:8" s="34" customFormat="1" ht="21" x14ac:dyDescent="0.25">
      <c r="A66" s="33" t="s">
        <v>507</v>
      </c>
      <c r="D66" s="35">
        <v>1</v>
      </c>
      <c r="E66" s="34" t="s">
        <v>155</v>
      </c>
      <c r="F66" s="34">
        <v>1</v>
      </c>
      <c r="G66" s="34" t="s">
        <v>276</v>
      </c>
      <c r="H66" s="34" t="s">
        <v>469</v>
      </c>
    </row>
    <row r="67" spans="1:8" s="34" customFormat="1" x14ac:dyDescent="0.2">
      <c r="A67" s="34" t="s">
        <v>275</v>
      </c>
      <c r="D67" s="35">
        <v>1</v>
      </c>
      <c r="E67" s="34" t="s">
        <v>155</v>
      </c>
      <c r="F67" s="34">
        <v>2</v>
      </c>
      <c r="H67" s="34" t="s">
        <v>469</v>
      </c>
    </row>
    <row r="68" spans="1:8" s="23" customFormat="1" x14ac:dyDescent="0.2">
      <c r="A68" s="23" t="s">
        <v>341</v>
      </c>
      <c r="D68" s="35">
        <v>1</v>
      </c>
      <c r="E68" s="34" t="s">
        <v>155</v>
      </c>
      <c r="F68" s="34">
        <v>3</v>
      </c>
      <c r="H68" s="34" t="s">
        <v>469</v>
      </c>
    </row>
    <row r="69" spans="1:8" s="34" customFormat="1" x14ac:dyDescent="0.2">
      <c r="A69" s="34" t="s">
        <v>161</v>
      </c>
    </row>
    <row r="70" spans="1:8" s="34" customFormat="1" ht="21" x14ac:dyDescent="0.25">
      <c r="A70" s="33" t="s">
        <v>277</v>
      </c>
    </row>
    <row r="71" spans="1:8" s="34" customFormat="1" x14ac:dyDescent="0.2">
      <c r="A71" s="34" t="s">
        <v>278</v>
      </c>
      <c r="D71" s="35">
        <v>1</v>
      </c>
      <c r="E71" s="34" t="s">
        <v>155</v>
      </c>
      <c r="H71" s="34" t="s">
        <v>470</v>
      </c>
    </row>
    <row r="72" spans="1:8" s="34" customFormat="1" x14ac:dyDescent="0.2">
      <c r="A72" s="34" t="s">
        <v>161</v>
      </c>
    </row>
    <row r="73" spans="1:8" s="34" customFormat="1" ht="21" x14ac:dyDescent="0.25">
      <c r="A73" s="33" t="s">
        <v>358</v>
      </c>
    </row>
    <row r="74" spans="1:8" s="34" customFormat="1" x14ac:dyDescent="0.2">
      <c r="A74" s="34" t="s">
        <v>361</v>
      </c>
      <c r="D74" s="35">
        <v>1</v>
      </c>
      <c r="E74" s="34" t="s">
        <v>155</v>
      </c>
      <c r="F74" s="34">
        <v>3</v>
      </c>
      <c r="H74" s="11" t="s">
        <v>471</v>
      </c>
    </row>
    <row r="75" spans="1:8" s="34" customFormat="1" x14ac:dyDescent="0.2">
      <c r="A75" s="34" t="s">
        <v>359</v>
      </c>
      <c r="D75" s="35">
        <v>1</v>
      </c>
      <c r="E75" s="34" t="s">
        <v>155</v>
      </c>
      <c r="F75" s="34">
        <v>2</v>
      </c>
      <c r="H75" s="11" t="s">
        <v>471</v>
      </c>
    </row>
    <row r="76" spans="1:8" s="34" customFormat="1" x14ac:dyDescent="0.2">
      <c r="A76" s="34" t="s">
        <v>360</v>
      </c>
      <c r="D76" s="35">
        <v>1</v>
      </c>
      <c r="E76" s="34" t="s">
        <v>155</v>
      </c>
      <c r="F76" s="34">
        <v>4</v>
      </c>
      <c r="H76" s="11" t="s">
        <v>471</v>
      </c>
    </row>
    <row r="77" spans="1:8" s="34" customFormat="1" x14ac:dyDescent="0.2">
      <c r="A77" s="34" t="s">
        <v>362</v>
      </c>
      <c r="D77" s="35">
        <v>1</v>
      </c>
      <c r="E77" s="34" t="s">
        <v>155</v>
      </c>
      <c r="F77" s="34">
        <v>1</v>
      </c>
      <c r="H77" s="11" t="s">
        <v>471</v>
      </c>
    </row>
    <row r="78" spans="1:8" x14ac:dyDescent="0.2">
      <c r="A78" s="19" t="s">
        <v>161</v>
      </c>
    </row>
    <row r="79" spans="1:8" s="34" customFormat="1" ht="21" x14ac:dyDescent="0.25">
      <c r="A79" s="33" t="s">
        <v>336</v>
      </c>
    </row>
    <row r="80" spans="1:8" s="34" customFormat="1" x14ac:dyDescent="0.2">
      <c r="A80" s="23" t="s">
        <v>342</v>
      </c>
      <c r="D80" s="42">
        <v>1</v>
      </c>
      <c r="E80" s="23" t="s">
        <v>155</v>
      </c>
      <c r="F80" s="23">
        <v>1</v>
      </c>
      <c r="G80" s="23"/>
      <c r="H80" s="39" t="s">
        <v>472</v>
      </c>
    </row>
    <row r="81" spans="1:8" s="34" customFormat="1" x14ac:dyDescent="0.2">
      <c r="A81" s="23" t="s">
        <v>450</v>
      </c>
      <c r="D81" s="42">
        <v>1</v>
      </c>
      <c r="E81" s="23" t="s">
        <v>155</v>
      </c>
      <c r="F81" s="23">
        <v>3</v>
      </c>
      <c r="G81" s="23"/>
      <c r="H81" s="39" t="s">
        <v>472</v>
      </c>
    </row>
    <row r="82" spans="1:8" s="34" customFormat="1" x14ac:dyDescent="0.2">
      <c r="A82" s="23" t="s">
        <v>501</v>
      </c>
      <c r="D82" s="42">
        <v>1</v>
      </c>
      <c r="E82" s="23" t="s">
        <v>155</v>
      </c>
      <c r="F82" s="23">
        <v>4</v>
      </c>
      <c r="G82" s="23"/>
      <c r="H82" s="39" t="s">
        <v>472</v>
      </c>
    </row>
    <row r="83" spans="1:8" s="34" customFormat="1" x14ac:dyDescent="0.2">
      <c r="A83" s="23" t="s">
        <v>451</v>
      </c>
      <c r="D83" s="42">
        <v>1</v>
      </c>
      <c r="E83" s="23" t="s">
        <v>155</v>
      </c>
      <c r="F83" s="23">
        <v>2</v>
      </c>
      <c r="G83" s="23"/>
      <c r="H83" s="39" t="s">
        <v>472</v>
      </c>
    </row>
    <row r="84" spans="1:8" s="34" customFormat="1" ht="21" x14ac:dyDescent="0.25">
      <c r="A84" s="33" t="s">
        <v>412</v>
      </c>
    </row>
    <row r="85" spans="1:8" s="34" customFormat="1" ht="21" x14ac:dyDescent="0.25">
      <c r="A85" s="33" t="s">
        <v>506</v>
      </c>
      <c r="D85" s="42">
        <v>1</v>
      </c>
      <c r="E85" s="23" t="s">
        <v>155</v>
      </c>
      <c r="F85" s="34">
        <v>2</v>
      </c>
    </row>
    <row r="86" spans="1:8" s="34" customFormat="1" ht="21" x14ac:dyDescent="0.25">
      <c r="A86" s="33" t="s">
        <v>505</v>
      </c>
      <c r="D86" s="42">
        <v>1</v>
      </c>
      <c r="E86" s="23" t="s">
        <v>155</v>
      </c>
      <c r="F86" s="23">
        <v>1</v>
      </c>
      <c r="G86" s="23"/>
      <c r="H86" s="39" t="s">
        <v>473</v>
      </c>
    </row>
    <row r="87" spans="1:8" s="34" customFormat="1" x14ac:dyDescent="0.2">
      <c r="A87" s="23" t="s">
        <v>413</v>
      </c>
      <c r="D87" s="42">
        <v>1</v>
      </c>
      <c r="E87" s="23" t="s">
        <v>155</v>
      </c>
      <c r="F87" s="23">
        <v>5</v>
      </c>
      <c r="G87" s="23"/>
      <c r="H87" s="39" t="s">
        <v>473</v>
      </c>
    </row>
    <row r="88" spans="1:8" s="34" customFormat="1" x14ac:dyDescent="0.2">
      <c r="A88" s="23" t="s">
        <v>414</v>
      </c>
      <c r="D88" s="42">
        <v>1</v>
      </c>
      <c r="E88" s="23" t="s">
        <v>155</v>
      </c>
      <c r="F88" s="23">
        <v>4</v>
      </c>
      <c r="G88" s="23"/>
      <c r="H88" s="39" t="s">
        <v>473</v>
      </c>
    </row>
    <row r="89" spans="1:8" s="34" customFormat="1" x14ac:dyDescent="0.2">
      <c r="A89" s="23" t="s">
        <v>410</v>
      </c>
      <c r="D89" s="42">
        <v>1</v>
      </c>
      <c r="E89" s="23" t="s">
        <v>155</v>
      </c>
      <c r="F89" s="34">
        <v>3</v>
      </c>
      <c r="H89" s="39" t="s">
        <v>473</v>
      </c>
    </row>
    <row r="90" spans="1:8" s="34" customFormat="1" ht="21" x14ac:dyDescent="0.25">
      <c r="A90" s="33" t="s">
        <v>415</v>
      </c>
    </row>
    <row r="91" spans="1:8" s="34" customFormat="1" x14ac:dyDescent="0.2">
      <c r="A91" s="23" t="s">
        <v>416</v>
      </c>
      <c r="D91" s="42">
        <v>1</v>
      </c>
      <c r="E91" s="23" t="s">
        <v>155</v>
      </c>
      <c r="F91" s="23">
        <v>1</v>
      </c>
      <c r="G91" s="23"/>
      <c r="H91" s="39" t="s">
        <v>474</v>
      </c>
    </row>
    <row r="92" spans="1:8" s="34" customFormat="1" x14ac:dyDescent="0.2">
      <c r="A92" s="23" t="s">
        <v>417</v>
      </c>
      <c r="D92" s="42">
        <v>1</v>
      </c>
      <c r="E92" s="23" t="s">
        <v>155</v>
      </c>
      <c r="F92" s="23">
        <v>2</v>
      </c>
      <c r="G92" s="23"/>
      <c r="H92" s="39" t="s">
        <v>474</v>
      </c>
    </row>
    <row r="93" spans="1:8" s="34" customFormat="1" ht="21" x14ac:dyDescent="0.25">
      <c r="A93" s="33" t="s">
        <v>496</v>
      </c>
      <c r="D93" s="42"/>
      <c r="E93" s="23"/>
      <c r="F93" s="23"/>
      <c r="G93" s="23"/>
      <c r="H93" s="39"/>
    </row>
    <row r="94" spans="1:8" s="34" customFormat="1" ht="21" x14ac:dyDescent="0.25">
      <c r="A94" s="33" t="s">
        <v>497</v>
      </c>
      <c r="D94" s="42">
        <v>1</v>
      </c>
      <c r="E94" s="23" t="s">
        <v>155</v>
      </c>
      <c r="F94" s="23">
        <v>1</v>
      </c>
      <c r="G94" s="23"/>
      <c r="H94" s="39" t="s">
        <v>492</v>
      </c>
    </row>
    <row r="95" spans="1:8" s="34" customFormat="1" ht="21" x14ac:dyDescent="0.25">
      <c r="A95" s="33" t="s">
        <v>498</v>
      </c>
      <c r="D95" s="42">
        <v>1</v>
      </c>
      <c r="E95" s="23" t="s">
        <v>155</v>
      </c>
      <c r="F95" s="23">
        <v>2</v>
      </c>
      <c r="G95" s="23"/>
      <c r="H95" s="39" t="s">
        <v>492</v>
      </c>
    </row>
    <row r="96" spans="1:8" s="34" customFormat="1" ht="21" x14ac:dyDescent="0.25">
      <c r="A96" s="33" t="s">
        <v>499</v>
      </c>
      <c r="D96" s="42">
        <v>1</v>
      </c>
      <c r="E96" s="23" t="s">
        <v>155</v>
      </c>
      <c r="F96" s="23">
        <v>4</v>
      </c>
      <c r="G96" s="23"/>
      <c r="H96" s="39" t="s">
        <v>492</v>
      </c>
    </row>
    <row r="97" spans="1:11" s="34" customFormat="1" ht="21" x14ac:dyDescent="0.25">
      <c r="A97" s="33" t="s">
        <v>500</v>
      </c>
      <c r="D97" s="42">
        <v>1</v>
      </c>
      <c r="E97" s="23" t="s">
        <v>155</v>
      </c>
      <c r="F97" s="23">
        <v>3</v>
      </c>
      <c r="G97" s="23"/>
      <c r="H97" s="39" t="s">
        <v>492</v>
      </c>
    </row>
    <row r="98" spans="1:11" s="34" customFormat="1" ht="21" x14ac:dyDescent="0.25">
      <c r="A98" s="33" t="s">
        <v>515</v>
      </c>
      <c r="D98" s="42"/>
      <c r="E98" s="23"/>
      <c r="F98" s="23"/>
      <c r="G98" s="23"/>
      <c r="H98" s="39"/>
    </row>
    <row r="99" spans="1:11" s="34" customFormat="1" ht="21" x14ac:dyDescent="0.25">
      <c r="A99" s="33" t="s">
        <v>516</v>
      </c>
      <c r="D99" s="42">
        <v>1</v>
      </c>
      <c r="E99" s="23" t="s">
        <v>155</v>
      </c>
      <c r="F99" s="23">
        <v>1</v>
      </c>
      <c r="G99" s="23"/>
      <c r="H99" s="39" t="s">
        <v>514</v>
      </c>
    </row>
    <row r="100" spans="1:11" s="34" customFormat="1" ht="21" x14ac:dyDescent="0.25">
      <c r="A100" s="33" t="s">
        <v>517</v>
      </c>
      <c r="D100" s="42">
        <v>1</v>
      </c>
      <c r="E100" s="23" t="s">
        <v>155</v>
      </c>
      <c r="F100" s="23">
        <v>3</v>
      </c>
      <c r="G100" s="23"/>
      <c r="H100" s="39" t="s">
        <v>514</v>
      </c>
    </row>
    <row r="101" spans="1:11" s="34" customFormat="1" ht="21" x14ac:dyDescent="0.25">
      <c r="A101" s="33" t="s">
        <v>518</v>
      </c>
      <c r="D101" s="42">
        <v>1</v>
      </c>
      <c r="E101" s="23" t="s">
        <v>155</v>
      </c>
      <c r="F101" s="23">
        <v>4</v>
      </c>
      <c r="G101" s="23"/>
      <c r="H101" s="39" t="s">
        <v>514</v>
      </c>
    </row>
    <row r="102" spans="1:11" s="34" customFormat="1" ht="21" x14ac:dyDescent="0.25">
      <c r="A102" s="33" t="s">
        <v>519</v>
      </c>
      <c r="D102" s="42">
        <v>1</v>
      </c>
      <c r="E102" s="23" t="s">
        <v>155</v>
      </c>
      <c r="F102" s="23">
        <v>2</v>
      </c>
      <c r="G102" s="23"/>
      <c r="H102" s="39" t="s">
        <v>514</v>
      </c>
    </row>
    <row r="103" spans="1:11" s="34" customFormat="1" ht="21" x14ac:dyDescent="0.25">
      <c r="A103" s="33" t="s">
        <v>520</v>
      </c>
      <c r="D103" s="42">
        <v>1</v>
      </c>
      <c r="E103" s="23" t="s">
        <v>155</v>
      </c>
      <c r="F103" s="23">
        <v>5</v>
      </c>
      <c r="G103" s="23"/>
      <c r="H103" s="39" t="s">
        <v>514</v>
      </c>
    </row>
    <row r="104" spans="1:11" s="23" customFormat="1" ht="21" x14ac:dyDescent="0.25">
      <c r="A104" s="33" t="s">
        <v>323</v>
      </c>
      <c r="D104" s="42"/>
    </row>
    <row r="105" spans="1:11" x14ac:dyDescent="0.2">
      <c r="A105" s="23" t="s">
        <v>509</v>
      </c>
      <c r="D105" s="42"/>
      <c r="E105" s="23"/>
      <c r="F105" s="23"/>
      <c r="G105" s="23"/>
      <c r="H105" s="23"/>
      <c r="I105" s="23"/>
      <c r="J105" s="23"/>
      <c r="K105" s="23"/>
    </row>
    <row r="106" spans="1:11" ht="21" x14ac:dyDescent="0.25">
      <c r="A106" s="30" t="s">
        <v>221</v>
      </c>
      <c r="D106" s="42">
        <v>1</v>
      </c>
      <c r="E106" s="23" t="s">
        <v>155</v>
      </c>
    </row>
    <row r="107" spans="1:11" x14ac:dyDescent="0.2">
      <c r="A107" s="22" t="s">
        <v>222</v>
      </c>
      <c r="D107" s="20">
        <v>1</v>
      </c>
      <c r="E107" s="19" t="s">
        <v>155</v>
      </c>
      <c r="I107" s="19" t="s">
        <v>67</v>
      </c>
      <c r="J107" s="19" t="s">
        <v>123</v>
      </c>
    </row>
    <row r="108" spans="1:11" x14ac:dyDescent="0.2">
      <c r="A108" s="22" t="s">
        <v>223</v>
      </c>
      <c r="D108" s="20">
        <v>1</v>
      </c>
      <c r="E108" s="19" t="s">
        <v>155</v>
      </c>
      <c r="I108" s="19" t="s">
        <v>67</v>
      </c>
      <c r="J108" s="19" t="s">
        <v>126</v>
      </c>
    </row>
    <row r="109" spans="1:11" x14ac:dyDescent="0.2">
      <c r="A109" s="22" t="s">
        <v>196</v>
      </c>
      <c r="D109" s="20">
        <v>1</v>
      </c>
      <c r="E109" s="19" t="s">
        <v>155</v>
      </c>
      <c r="I109" s="19" t="s">
        <v>67</v>
      </c>
      <c r="J109" s="19" t="s">
        <v>124</v>
      </c>
    </row>
    <row r="110" spans="1:11" x14ac:dyDescent="0.2">
      <c r="A110" s="19" t="s">
        <v>224</v>
      </c>
      <c r="D110" s="20">
        <v>1</v>
      </c>
      <c r="E110" s="19" t="s">
        <v>155</v>
      </c>
      <c r="I110" s="19" t="s">
        <v>105</v>
      </c>
      <c r="J110" s="19" t="s">
        <v>58</v>
      </c>
    </row>
    <row r="111" spans="1:11" x14ac:dyDescent="0.2">
      <c r="A111" s="19" t="s">
        <v>225</v>
      </c>
      <c r="D111" s="20">
        <v>1</v>
      </c>
      <c r="E111" s="19" t="s">
        <v>155</v>
      </c>
      <c r="I111" s="19" t="s">
        <v>105</v>
      </c>
      <c r="J111" s="19" t="s">
        <v>134</v>
      </c>
    </row>
    <row r="112" spans="1:11" x14ac:dyDescent="0.2">
      <c r="A112" s="19" t="s">
        <v>198</v>
      </c>
    </row>
    <row r="113" spans="1:10" x14ac:dyDescent="0.2">
      <c r="A113" s="19" t="s">
        <v>340</v>
      </c>
      <c r="D113" s="20">
        <v>1</v>
      </c>
      <c r="E113" s="19" t="s">
        <v>155</v>
      </c>
      <c r="I113" s="19" t="s">
        <v>68</v>
      </c>
      <c r="J113" s="19" t="s">
        <v>60</v>
      </c>
    </row>
    <row r="114" spans="1:10" x14ac:dyDescent="0.2">
      <c r="A114" s="19" t="s">
        <v>340</v>
      </c>
      <c r="D114" s="20">
        <v>1</v>
      </c>
      <c r="E114" s="19" t="s">
        <v>155</v>
      </c>
      <c r="I114" s="19" t="s">
        <v>68</v>
      </c>
      <c r="J114" s="19" t="s">
        <v>93</v>
      </c>
    </row>
    <row r="115" spans="1:10" x14ac:dyDescent="0.2">
      <c r="A115" s="19" t="s">
        <v>161</v>
      </c>
    </row>
    <row r="116" spans="1:10" ht="21" x14ac:dyDescent="0.25">
      <c r="A116" s="31" t="s">
        <v>322</v>
      </c>
    </row>
    <row r="117" spans="1:10" x14ac:dyDescent="0.2">
      <c r="A117" s="19" t="s">
        <v>199</v>
      </c>
    </row>
    <row r="118" spans="1:10" x14ac:dyDescent="0.2">
      <c r="A118" s="19" t="s">
        <v>167</v>
      </c>
      <c r="D118" s="20">
        <v>1</v>
      </c>
      <c r="E118" s="19" t="s">
        <v>155</v>
      </c>
      <c r="G118" s="59" t="s">
        <v>511</v>
      </c>
      <c r="I118" s="19" t="s">
        <v>104</v>
      </c>
      <c r="J118" s="59" t="s">
        <v>403</v>
      </c>
    </row>
    <row r="119" spans="1:10" x14ac:dyDescent="0.2">
      <c r="A119" s="19" t="s">
        <v>510</v>
      </c>
      <c r="D119" s="20">
        <v>1</v>
      </c>
      <c r="E119" s="19" t="s">
        <v>155</v>
      </c>
      <c r="I119" s="19" t="s">
        <v>104</v>
      </c>
      <c r="J119" s="59" t="s">
        <v>406</v>
      </c>
    </row>
    <row r="120" spans="1:10" x14ac:dyDescent="0.2">
      <c r="B120" s="19" t="s">
        <v>512</v>
      </c>
      <c r="D120" s="20">
        <v>1</v>
      </c>
      <c r="E120" s="19" t="s">
        <v>155</v>
      </c>
      <c r="I120" s="19" t="s">
        <v>104</v>
      </c>
      <c r="J120" s="59" t="s">
        <v>406</v>
      </c>
    </row>
    <row r="121" spans="1:10" x14ac:dyDescent="0.2">
      <c r="A121" s="19" t="s">
        <v>200</v>
      </c>
      <c r="D121" s="20">
        <v>1</v>
      </c>
      <c r="E121" s="19" t="s">
        <v>155</v>
      </c>
      <c r="I121" s="19" t="s">
        <v>104</v>
      </c>
      <c r="J121" s="59" t="s">
        <v>503</v>
      </c>
    </row>
    <row r="122" spans="1:10" x14ac:dyDescent="0.2">
      <c r="A122" s="19" t="s">
        <v>159</v>
      </c>
      <c r="D122" s="20">
        <v>1</v>
      </c>
      <c r="E122" s="19" t="s">
        <v>155</v>
      </c>
      <c r="I122" s="19" t="s">
        <v>104</v>
      </c>
      <c r="J122" s="59" t="s">
        <v>503</v>
      </c>
    </row>
    <row r="123" spans="1:10" x14ac:dyDescent="0.2">
      <c r="A123" s="19" t="s">
        <v>201</v>
      </c>
      <c r="D123" s="20">
        <v>1</v>
      </c>
      <c r="E123" s="19" t="s">
        <v>155</v>
      </c>
      <c r="I123" s="19" t="s">
        <v>104</v>
      </c>
      <c r="J123" s="59" t="s">
        <v>503</v>
      </c>
    </row>
    <row r="124" spans="1:10" x14ac:dyDescent="0.2">
      <c r="A124" s="19" t="s">
        <v>249</v>
      </c>
      <c r="D124" s="20">
        <v>1</v>
      </c>
      <c r="E124" s="19" t="s">
        <v>155</v>
      </c>
      <c r="I124" s="19" t="s">
        <v>104</v>
      </c>
      <c r="J124" s="59" t="s">
        <v>503</v>
      </c>
    </row>
    <row r="125" spans="1:10" x14ac:dyDescent="0.2">
      <c r="A125" s="19" t="s">
        <v>251</v>
      </c>
      <c r="D125" s="20">
        <v>1</v>
      </c>
      <c r="E125" s="19" t="s">
        <v>155</v>
      </c>
      <c r="I125" s="19" t="s">
        <v>232</v>
      </c>
      <c r="J125" s="19" t="s">
        <v>250</v>
      </c>
    </row>
    <row r="126" spans="1:10" x14ac:dyDescent="0.2">
      <c r="A126" s="19" t="s">
        <v>252</v>
      </c>
      <c r="D126" s="20">
        <v>1</v>
      </c>
      <c r="E126" s="19" t="s">
        <v>155</v>
      </c>
      <c r="I126" s="19" t="s">
        <v>232</v>
      </c>
      <c r="J126" s="19" t="s">
        <v>62</v>
      </c>
    </row>
    <row r="127" spans="1:10" x14ac:dyDescent="0.2">
      <c r="A127" s="19" t="s">
        <v>202</v>
      </c>
    </row>
    <row r="128" spans="1:10" x14ac:dyDescent="0.2">
      <c r="A128" s="29" t="s">
        <v>457</v>
      </c>
    </row>
    <row r="129" spans="1:11" x14ac:dyDescent="0.2">
      <c r="A129" s="19" t="s">
        <v>458</v>
      </c>
      <c r="D129" s="36">
        <v>1</v>
      </c>
      <c r="E129" s="29" t="s">
        <v>155</v>
      </c>
      <c r="F129" s="29"/>
      <c r="G129" s="29"/>
      <c r="H129" s="29"/>
      <c r="I129" s="29" t="s">
        <v>71</v>
      </c>
      <c r="J129" s="29" t="s">
        <v>269</v>
      </c>
    </row>
    <row r="130" spans="1:11" x14ac:dyDescent="0.2">
      <c r="A130" s="19" t="s">
        <v>459</v>
      </c>
      <c r="D130" s="20">
        <v>1</v>
      </c>
      <c r="E130" s="19" t="s">
        <v>155</v>
      </c>
      <c r="I130" s="19" t="s">
        <v>71</v>
      </c>
      <c r="J130" s="52" t="s">
        <v>236</v>
      </c>
    </row>
    <row r="131" spans="1:11" x14ac:dyDescent="0.2">
      <c r="A131" s="19" t="s">
        <v>459</v>
      </c>
      <c r="D131" s="20">
        <v>1</v>
      </c>
      <c r="E131" s="19" t="s">
        <v>155</v>
      </c>
      <c r="I131" s="19" t="s">
        <v>71</v>
      </c>
      <c r="J131" s="52" t="s">
        <v>419</v>
      </c>
    </row>
    <row r="132" spans="1:11" x14ac:dyDescent="0.2">
      <c r="A132" s="19" t="s">
        <v>460</v>
      </c>
      <c r="D132" s="20">
        <v>1</v>
      </c>
      <c r="E132" s="19" t="s">
        <v>155</v>
      </c>
      <c r="I132" s="19" t="s">
        <v>71</v>
      </c>
      <c r="J132" s="52" t="s">
        <v>419</v>
      </c>
    </row>
    <row r="133" spans="1:11" x14ac:dyDescent="0.2">
      <c r="A133" s="52" t="s">
        <v>461</v>
      </c>
      <c r="D133" s="20">
        <v>1</v>
      </c>
      <c r="E133" s="19" t="s">
        <v>155</v>
      </c>
      <c r="I133" s="19" t="s">
        <v>71</v>
      </c>
      <c r="J133" s="52" t="s">
        <v>419</v>
      </c>
    </row>
    <row r="134" spans="1:11" x14ac:dyDescent="0.2">
      <c r="A134" s="52" t="s">
        <v>462</v>
      </c>
      <c r="D134" s="20">
        <v>1</v>
      </c>
      <c r="E134" s="19" t="s">
        <v>155</v>
      </c>
      <c r="I134" s="19" t="s">
        <v>71</v>
      </c>
      <c r="J134" s="52" t="s">
        <v>422</v>
      </c>
    </row>
    <row r="135" spans="1:11" x14ac:dyDescent="0.2">
      <c r="A135" s="19" t="s">
        <v>204</v>
      </c>
      <c r="D135" s="20">
        <v>2</v>
      </c>
      <c r="E135" s="19" t="s">
        <v>155</v>
      </c>
      <c r="I135" s="19" t="s">
        <v>71</v>
      </c>
      <c r="J135" s="52" t="s">
        <v>422</v>
      </c>
    </row>
    <row r="136" spans="1:11" x14ac:dyDescent="0.2">
      <c r="A136" s="19" t="s">
        <v>179</v>
      </c>
      <c r="D136" s="20">
        <v>1</v>
      </c>
      <c r="E136" s="19" t="s">
        <v>155</v>
      </c>
      <c r="I136" s="19" t="s">
        <v>137</v>
      </c>
      <c r="J136" s="19" t="s">
        <v>58</v>
      </c>
    </row>
    <row r="137" spans="1:11" x14ac:dyDescent="0.2">
      <c r="A137" s="22" t="s">
        <v>205</v>
      </c>
      <c r="D137" s="20">
        <v>1</v>
      </c>
      <c r="E137" s="19" t="s">
        <v>155</v>
      </c>
      <c r="I137" s="19" t="s">
        <v>137</v>
      </c>
      <c r="J137" s="22" t="s">
        <v>284</v>
      </c>
    </row>
    <row r="138" spans="1:11" x14ac:dyDescent="0.2">
      <c r="A138" s="22" t="s">
        <v>376</v>
      </c>
      <c r="D138" s="20">
        <v>1</v>
      </c>
      <c r="E138" s="19" t="s">
        <v>155</v>
      </c>
      <c r="G138" s="46" t="s">
        <v>377</v>
      </c>
      <c r="I138" s="46" t="s">
        <v>328</v>
      </c>
      <c r="J138" s="22"/>
    </row>
    <row r="139" spans="1:11" x14ac:dyDescent="0.2">
      <c r="A139" s="52" t="s">
        <v>388</v>
      </c>
      <c r="D139" s="20">
        <v>1</v>
      </c>
      <c r="E139" s="19" t="s">
        <v>155</v>
      </c>
      <c r="G139" s="46"/>
      <c r="I139" s="52" t="s">
        <v>386</v>
      </c>
      <c r="J139" s="52" t="s">
        <v>61</v>
      </c>
    </row>
    <row r="140" spans="1:11" s="23" customFormat="1" x14ac:dyDescent="0.2">
      <c r="A140" s="22" t="s">
        <v>437</v>
      </c>
      <c r="D140" s="20">
        <v>1</v>
      </c>
      <c r="E140" s="19" t="s">
        <v>155</v>
      </c>
      <c r="F140" s="19"/>
      <c r="G140" s="52" t="s">
        <v>441</v>
      </c>
      <c r="H140" s="19"/>
      <c r="I140" s="52" t="s">
        <v>386</v>
      </c>
      <c r="J140" s="52" t="s">
        <v>396</v>
      </c>
      <c r="K140" s="19"/>
    </row>
    <row r="141" spans="1:11" x14ac:dyDescent="0.2">
      <c r="A141" s="23" t="s">
        <v>445</v>
      </c>
      <c r="D141" s="20">
        <v>1</v>
      </c>
      <c r="E141" s="19" t="s">
        <v>155</v>
      </c>
      <c r="F141" s="23"/>
      <c r="G141" s="23" t="s">
        <v>440</v>
      </c>
      <c r="H141" s="23"/>
      <c r="I141" s="52" t="s">
        <v>386</v>
      </c>
      <c r="J141" s="52" t="s">
        <v>396</v>
      </c>
      <c r="K141" s="23"/>
    </row>
    <row r="142" spans="1:11" x14ac:dyDescent="0.2">
      <c r="A142" s="22" t="s">
        <v>438</v>
      </c>
      <c r="D142" s="20">
        <v>1</v>
      </c>
      <c r="E142" s="19" t="s">
        <v>155</v>
      </c>
      <c r="G142" s="46"/>
      <c r="I142" s="52" t="s">
        <v>386</v>
      </c>
      <c r="J142" s="52" t="s">
        <v>60</v>
      </c>
    </row>
    <row r="143" spans="1:11" x14ac:dyDescent="0.2">
      <c r="A143" s="22" t="s">
        <v>194</v>
      </c>
      <c r="D143" s="20">
        <v>1</v>
      </c>
      <c r="E143" s="19" t="s">
        <v>155</v>
      </c>
      <c r="G143" s="46"/>
      <c r="I143" s="52" t="s">
        <v>237</v>
      </c>
      <c r="J143" s="52" t="s">
        <v>58</v>
      </c>
    </row>
    <row r="144" spans="1:11" x14ac:dyDescent="0.2">
      <c r="A144" s="22" t="s">
        <v>380</v>
      </c>
      <c r="D144" s="20">
        <v>1</v>
      </c>
      <c r="E144" s="19" t="s">
        <v>155</v>
      </c>
      <c r="G144" s="46"/>
      <c r="I144" s="52" t="s">
        <v>237</v>
      </c>
      <c r="J144" s="52" t="s">
        <v>236</v>
      </c>
    </row>
    <row r="145" spans="1:10" x14ac:dyDescent="0.2">
      <c r="A145" s="22" t="s">
        <v>161</v>
      </c>
      <c r="D145" s="20"/>
      <c r="J145" s="22"/>
    </row>
    <row r="146" spans="1:10" x14ac:dyDescent="0.2">
      <c r="A146" s="19" t="s">
        <v>206</v>
      </c>
    </row>
    <row r="147" spans="1:10" x14ac:dyDescent="0.2">
      <c r="A147" s="19" t="s">
        <v>382</v>
      </c>
      <c r="D147" s="20">
        <v>1</v>
      </c>
      <c r="E147" s="19" t="s">
        <v>155</v>
      </c>
      <c r="G147" s="52" t="s">
        <v>383</v>
      </c>
      <c r="I147" s="52" t="s">
        <v>72</v>
      </c>
      <c r="J147" s="52" t="s">
        <v>98</v>
      </c>
    </row>
    <row r="148" spans="1:10" x14ac:dyDescent="0.2">
      <c r="A148" s="19" t="s">
        <v>189</v>
      </c>
      <c r="D148" s="20">
        <v>1</v>
      </c>
      <c r="E148" s="19" t="s">
        <v>155</v>
      </c>
      <c r="G148" s="19" t="s">
        <v>207</v>
      </c>
      <c r="I148" s="19" t="s">
        <v>72</v>
      </c>
      <c r="J148" s="19" t="s">
        <v>98</v>
      </c>
    </row>
    <row r="149" spans="1:10" x14ac:dyDescent="0.2">
      <c r="A149" s="19" t="s">
        <v>208</v>
      </c>
      <c r="D149" s="20">
        <v>1</v>
      </c>
      <c r="E149" s="19" t="s">
        <v>155</v>
      </c>
      <c r="G149" s="19" t="s">
        <v>209</v>
      </c>
      <c r="I149" s="19" t="s">
        <v>72</v>
      </c>
      <c r="J149" s="19" t="s">
        <v>98</v>
      </c>
    </row>
    <row r="150" spans="1:10" x14ac:dyDescent="0.2">
      <c r="A150" s="19" t="s">
        <v>165</v>
      </c>
      <c r="D150" s="20">
        <v>1</v>
      </c>
      <c r="E150" s="19" t="s">
        <v>155</v>
      </c>
      <c r="G150" s="19" t="s">
        <v>203</v>
      </c>
      <c r="I150" s="19" t="s">
        <v>72</v>
      </c>
      <c r="J150" s="19" t="s">
        <v>98</v>
      </c>
    </row>
    <row r="151" spans="1:10" x14ac:dyDescent="0.2">
      <c r="A151" s="19" t="s">
        <v>210</v>
      </c>
      <c r="D151" s="20">
        <v>1</v>
      </c>
      <c r="E151" s="19" t="s">
        <v>155</v>
      </c>
      <c r="I151" s="19" t="s">
        <v>72</v>
      </c>
      <c r="J151" s="19" t="s">
        <v>99</v>
      </c>
    </row>
    <row r="152" spans="1:10" x14ac:dyDescent="0.2">
      <c r="A152" s="19" t="s">
        <v>381</v>
      </c>
      <c r="D152" s="20">
        <v>1</v>
      </c>
      <c r="E152" s="19" t="s">
        <v>155</v>
      </c>
      <c r="I152" s="19" t="s">
        <v>72</v>
      </c>
      <c r="J152" s="19" t="s">
        <v>99</v>
      </c>
    </row>
    <row r="153" spans="1:10" x14ac:dyDescent="0.2">
      <c r="A153" s="19" t="s">
        <v>208</v>
      </c>
      <c r="D153" s="20">
        <v>1</v>
      </c>
      <c r="E153" s="19" t="s">
        <v>155</v>
      </c>
      <c r="G153" s="19" t="s">
        <v>209</v>
      </c>
      <c r="I153" s="19" t="s">
        <v>74</v>
      </c>
      <c r="J153" s="19" t="s">
        <v>60</v>
      </c>
    </row>
    <row r="154" spans="1:10" x14ac:dyDescent="0.2">
      <c r="A154" s="19" t="s">
        <v>446</v>
      </c>
      <c r="D154" s="20">
        <v>1</v>
      </c>
      <c r="E154" s="19" t="s">
        <v>155</v>
      </c>
      <c r="I154" s="19" t="s">
        <v>73</v>
      </c>
      <c r="J154" s="19" t="s">
        <v>61</v>
      </c>
    </row>
    <row r="155" spans="1:10" x14ac:dyDescent="0.2">
      <c r="A155" s="52" t="s">
        <v>379</v>
      </c>
      <c r="D155" s="20">
        <v>1</v>
      </c>
      <c r="E155" s="19" t="s">
        <v>155</v>
      </c>
      <c r="I155" s="19" t="s">
        <v>73</v>
      </c>
      <c r="J155" s="19" t="s">
        <v>61</v>
      </c>
    </row>
    <row r="156" spans="1:10" x14ac:dyDescent="0.2">
      <c r="A156" s="19" t="s">
        <v>161</v>
      </c>
    </row>
    <row r="157" spans="1:10" x14ac:dyDescent="0.2">
      <c r="A157" s="19" t="s">
        <v>206</v>
      </c>
    </row>
    <row r="158" spans="1:10" x14ac:dyDescent="0.2">
      <c r="A158" s="22" t="s">
        <v>281</v>
      </c>
      <c r="D158" s="20">
        <v>1</v>
      </c>
      <c r="E158" s="19" t="s">
        <v>155</v>
      </c>
      <c r="I158" s="19" t="s">
        <v>117</v>
      </c>
      <c r="J158" s="22" t="s">
        <v>258</v>
      </c>
    </row>
    <row r="159" spans="1:10" x14ac:dyDescent="0.2">
      <c r="A159" s="19" t="s">
        <v>211</v>
      </c>
      <c r="D159" s="20">
        <v>1</v>
      </c>
      <c r="E159" s="19" t="s">
        <v>155</v>
      </c>
      <c r="G159" s="19" t="s">
        <v>212</v>
      </c>
      <c r="I159" s="19" t="s">
        <v>117</v>
      </c>
      <c r="J159" s="22" t="s">
        <v>258</v>
      </c>
    </row>
    <row r="160" spans="1:10" x14ac:dyDescent="0.2">
      <c r="A160" s="22" t="s">
        <v>279</v>
      </c>
      <c r="D160" s="20">
        <v>1</v>
      </c>
      <c r="E160" s="19" t="s">
        <v>155</v>
      </c>
      <c r="G160" s="19" t="s">
        <v>213</v>
      </c>
      <c r="I160" s="19" t="s">
        <v>117</v>
      </c>
      <c r="J160" s="22" t="s">
        <v>260</v>
      </c>
    </row>
    <row r="161" spans="1:10" x14ac:dyDescent="0.2">
      <c r="A161" s="19" t="s">
        <v>280</v>
      </c>
      <c r="D161" s="20">
        <v>1</v>
      </c>
      <c r="E161" s="19" t="s">
        <v>155</v>
      </c>
      <c r="I161" s="19" t="s">
        <v>117</v>
      </c>
      <c r="J161" s="22" t="s">
        <v>259</v>
      </c>
    </row>
    <row r="162" spans="1:10" x14ac:dyDescent="0.2">
      <c r="A162" s="19" t="s">
        <v>282</v>
      </c>
      <c r="D162" s="20">
        <v>1</v>
      </c>
      <c r="E162" s="19" t="s">
        <v>155</v>
      </c>
      <c r="I162" s="19" t="s">
        <v>117</v>
      </c>
      <c r="J162" s="22" t="s">
        <v>261</v>
      </c>
    </row>
    <row r="163" spans="1:10" x14ac:dyDescent="0.2">
      <c r="D163" s="20"/>
      <c r="J163" s="22"/>
    </row>
    <row r="164" spans="1:10" x14ac:dyDescent="0.2">
      <c r="A164" s="19" t="s">
        <v>211</v>
      </c>
      <c r="D164" s="20">
        <v>1</v>
      </c>
      <c r="E164" s="19" t="s">
        <v>155</v>
      </c>
      <c r="G164" s="19" t="s">
        <v>212</v>
      </c>
      <c r="I164" s="19" t="s">
        <v>72</v>
      </c>
      <c r="J164" s="19" t="s">
        <v>97</v>
      </c>
    </row>
    <row r="165" spans="1:10" x14ac:dyDescent="0.2">
      <c r="A165" s="19" t="s">
        <v>182</v>
      </c>
      <c r="D165" s="20">
        <v>1</v>
      </c>
      <c r="E165" s="19" t="s">
        <v>155</v>
      </c>
      <c r="I165" s="19" t="s">
        <v>72</v>
      </c>
      <c r="J165" s="19" t="s">
        <v>97</v>
      </c>
    </row>
    <row r="166" spans="1:10" x14ac:dyDescent="0.2">
      <c r="A166" s="19" t="s">
        <v>158</v>
      </c>
      <c r="D166" s="20">
        <v>1</v>
      </c>
      <c r="E166" s="19" t="s">
        <v>155</v>
      </c>
      <c r="G166" s="19" t="s">
        <v>77</v>
      </c>
      <c r="I166" s="19" t="s">
        <v>72</v>
      </c>
      <c r="J166" s="19" t="s">
        <v>97</v>
      </c>
    </row>
    <row r="167" spans="1:10" x14ac:dyDescent="0.2">
      <c r="A167" s="19" t="s">
        <v>158</v>
      </c>
      <c r="D167" s="20">
        <v>1</v>
      </c>
      <c r="E167" s="19" t="s">
        <v>155</v>
      </c>
      <c r="G167" s="19" t="s">
        <v>77</v>
      </c>
      <c r="I167" s="19" t="s">
        <v>74</v>
      </c>
      <c r="J167" s="19" t="s">
        <v>61</v>
      </c>
    </row>
    <row r="168" spans="1:10" x14ac:dyDescent="0.2">
      <c r="A168" s="19" t="s">
        <v>208</v>
      </c>
      <c r="D168" s="20">
        <v>1</v>
      </c>
      <c r="E168" s="19" t="s">
        <v>155</v>
      </c>
      <c r="I168" s="19" t="s">
        <v>74</v>
      </c>
      <c r="J168" s="19" t="s">
        <v>60</v>
      </c>
    </row>
    <row r="169" spans="1:10" x14ac:dyDescent="0.2">
      <c r="A169" s="19" t="s">
        <v>161</v>
      </c>
    </row>
    <row r="170" spans="1:10" ht="21" x14ac:dyDescent="0.25">
      <c r="A170" s="31" t="s">
        <v>214</v>
      </c>
    </row>
    <row r="171" spans="1:10" x14ac:dyDescent="0.2">
      <c r="A171" s="19" t="s">
        <v>215</v>
      </c>
      <c r="D171" s="20">
        <v>1</v>
      </c>
      <c r="E171" s="19" t="s">
        <v>155</v>
      </c>
      <c r="G171" s="19" t="s">
        <v>216</v>
      </c>
      <c r="I171" s="19" t="s">
        <v>69</v>
      </c>
      <c r="J171" s="19" t="s">
        <v>96</v>
      </c>
    </row>
    <row r="172" spans="1:10" x14ac:dyDescent="0.2">
      <c r="A172" s="19" t="s">
        <v>217</v>
      </c>
      <c r="D172" s="20">
        <v>1</v>
      </c>
      <c r="E172" s="19" t="s">
        <v>155</v>
      </c>
      <c r="G172" s="19" t="s">
        <v>216</v>
      </c>
      <c r="I172" s="19" t="s">
        <v>70</v>
      </c>
      <c r="J172" s="19" t="s">
        <v>56</v>
      </c>
    </row>
    <row r="173" spans="1:10" x14ac:dyDescent="0.2">
      <c r="A173" s="19" t="s">
        <v>218</v>
      </c>
      <c r="D173" s="20">
        <v>1</v>
      </c>
      <c r="E173" s="19" t="s">
        <v>155</v>
      </c>
      <c r="I173" s="19" t="s">
        <v>70</v>
      </c>
      <c r="J173" s="19" t="s">
        <v>55</v>
      </c>
    </row>
    <row r="174" spans="1:10" x14ac:dyDescent="0.2">
      <c r="A174" s="46" t="s">
        <v>370</v>
      </c>
      <c r="D174" s="20">
        <v>1</v>
      </c>
      <c r="E174" s="19" t="s">
        <v>155</v>
      </c>
      <c r="G174" s="24" t="s">
        <v>313</v>
      </c>
      <c r="I174" s="19" t="s">
        <v>70</v>
      </c>
      <c r="J174" s="46" t="s">
        <v>368</v>
      </c>
    </row>
    <row r="175" spans="1:10" x14ac:dyDescent="0.2">
      <c r="A175" s="46" t="s">
        <v>219</v>
      </c>
      <c r="D175" s="20">
        <v>1</v>
      </c>
      <c r="E175" s="19" t="s">
        <v>155</v>
      </c>
      <c r="I175" s="19" t="s">
        <v>70</v>
      </c>
      <c r="J175" s="19" t="s">
        <v>59</v>
      </c>
    </row>
    <row r="176" spans="1:10" x14ac:dyDescent="0.2">
      <c r="A176" s="19" t="s">
        <v>220</v>
      </c>
      <c r="D176" s="20">
        <v>1</v>
      </c>
      <c r="E176" s="19" t="s">
        <v>155</v>
      </c>
      <c r="I176" s="19" t="s">
        <v>57</v>
      </c>
      <c r="J176" s="19" t="s">
        <v>94</v>
      </c>
    </row>
    <row r="177" spans="1:11" x14ac:dyDescent="0.2">
      <c r="A177" s="19" t="s">
        <v>160</v>
      </c>
      <c r="D177" s="20">
        <v>1</v>
      </c>
      <c r="E177" s="19" t="s">
        <v>155</v>
      </c>
      <c r="I177" s="19" t="s">
        <v>57</v>
      </c>
      <c r="J177" s="19" t="s">
        <v>95</v>
      </c>
    </row>
    <row r="178" spans="1:11" x14ac:dyDescent="0.2">
      <c r="A178" s="19" t="s">
        <v>243</v>
      </c>
      <c r="D178" s="20">
        <v>1</v>
      </c>
      <c r="E178" s="19" t="s">
        <v>155</v>
      </c>
      <c r="I178" s="19" t="s">
        <v>244</v>
      </c>
      <c r="J178" s="19" t="s">
        <v>242</v>
      </c>
    </row>
    <row r="179" spans="1:11" x14ac:dyDescent="0.2">
      <c r="A179" s="19" t="s">
        <v>245</v>
      </c>
      <c r="D179" s="20">
        <v>1</v>
      </c>
      <c r="E179" s="19" t="s">
        <v>155</v>
      </c>
      <c r="I179" s="19" t="s">
        <v>244</v>
      </c>
      <c r="J179" s="19" t="s">
        <v>59</v>
      </c>
    </row>
    <row r="180" spans="1:11" x14ac:dyDescent="0.2">
      <c r="A180" s="19" t="s">
        <v>347</v>
      </c>
      <c r="D180" s="20">
        <v>1</v>
      </c>
      <c r="E180" s="19" t="s">
        <v>155</v>
      </c>
      <c r="I180" s="29" t="s">
        <v>317</v>
      </c>
      <c r="J180" s="29" t="s">
        <v>242</v>
      </c>
    </row>
    <row r="181" spans="1:11" x14ac:dyDescent="0.2">
      <c r="A181" s="19" t="s">
        <v>346</v>
      </c>
      <c r="D181" s="20">
        <v>1</v>
      </c>
      <c r="E181" s="19" t="s">
        <v>155</v>
      </c>
      <c r="I181" s="29" t="s">
        <v>317</v>
      </c>
      <c r="J181" s="29" t="s">
        <v>59</v>
      </c>
    </row>
    <row r="182" spans="1:11" x14ac:dyDescent="0.2">
      <c r="A182" s="19" t="s">
        <v>160</v>
      </c>
      <c r="D182" s="20">
        <v>1</v>
      </c>
      <c r="E182" s="19" t="s">
        <v>155</v>
      </c>
      <c r="I182" s="52" t="s">
        <v>399</v>
      </c>
      <c r="J182" s="52" t="s">
        <v>59</v>
      </c>
    </row>
    <row r="183" spans="1:11" s="23" customFormat="1" x14ac:dyDescent="0.2">
      <c r="A183" s="19" t="s">
        <v>402</v>
      </c>
      <c r="D183" s="20">
        <v>1</v>
      </c>
      <c r="E183" s="19" t="s">
        <v>155</v>
      </c>
      <c r="F183" s="19"/>
      <c r="G183" s="19"/>
      <c r="H183" s="19"/>
      <c r="I183" s="52" t="s">
        <v>399</v>
      </c>
      <c r="J183" s="52" t="s">
        <v>242</v>
      </c>
      <c r="K183" s="19"/>
    </row>
    <row r="184" spans="1:11" s="23" customFormat="1" x14ac:dyDescent="0.2">
      <c r="A184" s="23" t="s">
        <v>404</v>
      </c>
      <c r="D184" s="42">
        <v>1</v>
      </c>
      <c r="E184" s="23" t="s">
        <v>155</v>
      </c>
      <c r="I184" s="23" t="s">
        <v>398</v>
      </c>
      <c r="J184" s="23" t="s">
        <v>406</v>
      </c>
    </row>
    <row r="185" spans="1:11" s="23" customFormat="1" x14ac:dyDescent="0.2">
      <c r="A185" s="23" t="s">
        <v>405</v>
      </c>
      <c r="D185" s="42">
        <v>1</v>
      </c>
      <c r="E185" s="23" t="s">
        <v>155</v>
      </c>
      <c r="I185" s="23" t="s">
        <v>398</v>
      </c>
      <c r="J185" s="23" t="s">
        <v>406</v>
      </c>
    </row>
    <row r="186" spans="1:11" x14ac:dyDescent="0.2">
      <c r="A186" s="23" t="s">
        <v>410</v>
      </c>
      <c r="D186" s="42">
        <v>1</v>
      </c>
      <c r="E186" s="23" t="s">
        <v>155</v>
      </c>
      <c r="F186" s="23"/>
      <c r="G186" s="23"/>
      <c r="H186" s="23"/>
      <c r="I186" s="23" t="s">
        <v>398</v>
      </c>
      <c r="J186" s="23" t="s">
        <v>403</v>
      </c>
      <c r="K186" s="23"/>
    </row>
    <row r="187" spans="1:11" x14ac:dyDescent="0.2">
      <c r="A187" s="23" t="s">
        <v>520</v>
      </c>
      <c r="D187" s="42">
        <v>1</v>
      </c>
      <c r="E187" s="23" t="s">
        <v>155</v>
      </c>
      <c r="F187" s="23"/>
      <c r="G187" s="23"/>
      <c r="H187" s="23"/>
      <c r="I187" s="23" t="s">
        <v>398</v>
      </c>
      <c r="J187" s="23" t="s">
        <v>403</v>
      </c>
      <c r="K187" s="23"/>
    </row>
    <row r="188" spans="1:11" x14ac:dyDescent="0.2">
      <c r="A188" s="19" t="s">
        <v>226</v>
      </c>
    </row>
    <row r="189" spans="1:11" x14ac:dyDescent="0.2">
      <c r="A189" s="19" t="s">
        <v>227</v>
      </c>
    </row>
    <row r="190" spans="1:11" x14ac:dyDescent="0.2">
      <c r="A190" s="19" t="s">
        <v>228</v>
      </c>
    </row>
    <row r="191" spans="1:11" x14ac:dyDescent="0.2">
      <c r="A191" s="19" t="s">
        <v>229</v>
      </c>
    </row>
    <row r="192" spans="1:11" x14ac:dyDescent="0.2">
      <c r="A192" s="19" t="s">
        <v>230</v>
      </c>
    </row>
    <row r="193" spans="1:8" x14ac:dyDescent="0.2">
      <c r="A193" s="19" t="s">
        <v>231</v>
      </c>
    </row>
    <row r="194" spans="1:8" ht="21" x14ac:dyDescent="0.25">
      <c r="A194" s="31" t="s">
        <v>349</v>
      </c>
    </row>
    <row r="195" spans="1:8" x14ac:dyDescent="0.2">
      <c r="A195" s="52" t="s">
        <v>350</v>
      </c>
      <c r="D195" s="20">
        <v>1</v>
      </c>
      <c r="E195" s="19" t="s">
        <v>348</v>
      </c>
      <c r="H195" s="11" t="s">
        <v>197</v>
      </c>
    </row>
    <row r="196" spans="1:8" x14ac:dyDescent="0.2">
      <c r="A196" s="43" t="s">
        <v>351</v>
      </c>
      <c r="D196" s="20">
        <v>1</v>
      </c>
      <c r="E196" s="19" t="s">
        <v>348</v>
      </c>
      <c r="H196" s="11" t="s">
        <v>293</v>
      </c>
    </row>
    <row r="197" spans="1:8" x14ac:dyDescent="0.2">
      <c r="A197" s="43" t="s">
        <v>352</v>
      </c>
      <c r="D197" s="20">
        <v>1</v>
      </c>
      <c r="E197" s="19" t="s">
        <v>348</v>
      </c>
      <c r="H197" s="39" t="s">
        <v>472</v>
      </c>
    </row>
    <row r="198" spans="1:8" x14ac:dyDescent="0.2">
      <c r="A198" s="43" t="s">
        <v>353</v>
      </c>
      <c r="D198" s="20">
        <v>1</v>
      </c>
      <c r="E198" s="19" t="s">
        <v>348</v>
      </c>
      <c r="H198" s="11" t="s">
        <v>207</v>
      </c>
    </row>
    <row r="199" spans="1:8" x14ac:dyDescent="0.2">
      <c r="A199" s="46" t="s">
        <v>363</v>
      </c>
      <c r="D199" s="20">
        <v>1</v>
      </c>
      <c r="E199" s="19" t="s">
        <v>348</v>
      </c>
      <c r="H199" s="11" t="s">
        <v>471</v>
      </c>
    </row>
    <row r="200" spans="1:8" x14ac:dyDescent="0.2">
      <c r="A200" s="43" t="s">
        <v>354</v>
      </c>
      <c r="D200" s="20">
        <v>1</v>
      </c>
      <c r="E200" s="19" t="s">
        <v>348</v>
      </c>
      <c r="H200" s="11" t="s">
        <v>203</v>
      </c>
    </row>
    <row r="201" spans="1:8" x14ac:dyDescent="0.2">
      <c r="A201" s="43" t="s">
        <v>355</v>
      </c>
      <c r="D201" s="20">
        <v>1</v>
      </c>
      <c r="E201" s="19" t="s">
        <v>348</v>
      </c>
      <c r="H201" s="11" t="s">
        <v>469</v>
      </c>
    </row>
    <row r="202" spans="1:8" x14ac:dyDescent="0.2">
      <c r="A202" s="52" t="s">
        <v>378</v>
      </c>
      <c r="D202" s="20">
        <v>1</v>
      </c>
      <c r="E202" s="19" t="s">
        <v>348</v>
      </c>
      <c r="H202" s="11" t="s">
        <v>475</v>
      </c>
    </row>
    <row r="203" spans="1:8" x14ac:dyDescent="0.2">
      <c r="A203" s="43" t="s">
        <v>356</v>
      </c>
      <c r="D203" s="20">
        <v>1</v>
      </c>
      <c r="E203" s="19" t="s">
        <v>348</v>
      </c>
      <c r="H203" s="11" t="s">
        <v>292</v>
      </c>
    </row>
    <row r="204" spans="1:8" x14ac:dyDescent="0.2">
      <c r="A204" s="52" t="s">
        <v>357</v>
      </c>
      <c r="D204" s="20">
        <v>1</v>
      </c>
      <c r="E204" s="19" t="s">
        <v>348</v>
      </c>
      <c r="H204" s="11" t="s">
        <v>291</v>
      </c>
    </row>
    <row r="205" spans="1:8" x14ac:dyDescent="0.2">
      <c r="A205" s="46" t="s">
        <v>364</v>
      </c>
      <c r="D205" s="20">
        <v>1</v>
      </c>
      <c r="E205" s="19" t="s">
        <v>348</v>
      </c>
      <c r="H205" s="11" t="s">
        <v>294</v>
      </c>
    </row>
    <row r="206" spans="1:8" x14ac:dyDescent="0.2">
      <c r="A206" s="46" t="s">
        <v>371</v>
      </c>
      <c r="D206" s="20">
        <v>1</v>
      </c>
      <c r="E206" s="19" t="s">
        <v>348</v>
      </c>
      <c r="H206" s="39" t="s">
        <v>474</v>
      </c>
    </row>
    <row r="207" spans="1:8" x14ac:dyDescent="0.2">
      <c r="A207" s="52" t="s">
        <v>411</v>
      </c>
      <c r="D207" s="20">
        <v>1</v>
      </c>
      <c r="E207" s="19" t="s">
        <v>348</v>
      </c>
      <c r="H207" s="39" t="s">
        <v>473</v>
      </c>
    </row>
    <row r="208" spans="1:8" x14ac:dyDescent="0.2">
      <c r="A208" s="59" t="s">
        <v>513</v>
      </c>
      <c r="D208" s="20">
        <v>1</v>
      </c>
      <c r="E208" s="19" t="s">
        <v>348</v>
      </c>
      <c r="H208" s="39" t="s">
        <v>492</v>
      </c>
    </row>
    <row r="209" spans="1:8" x14ac:dyDescent="0.2">
      <c r="A209" s="59" t="s">
        <v>521</v>
      </c>
      <c r="D209" s="20">
        <v>1</v>
      </c>
      <c r="E209" s="19" t="s">
        <v>348</v>
      </c>
      <c r="H209" s="39" t="s">
        <v>514</v>
      </c>
    </row>
  </sheetData>
  <phoneticPr fontId="37" type="noConversion"/>
  <pageMargins left="0.75" right="0.75" top="1" bottom="1" header="0.5" footer="0.5"/>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16"/>
  <sheetViews>
    <sheetView topLeftCell="A2" zoomScaleNormal="100" workbookViewId="0">
      <selection activeCell="E22" sqref="E22"/>
    </sheetView>
  </sheetViews>
  <sheetFormatPr baseColWidth="10" defaultColWidth="8.83203125" defaultRowHeight="15" x14ac:dyDescent="0.2"/>
  <cols>
    <col min="1" max="1" width="21" customWidth="1"/>
    <col min="2" max="2" width="10.5" customWidth="1"/>
    <col min="3" max="3" width="10.6640625" bestFit="1" customWidth="1"/>
    <col min="4" max="4" width="28.5" style="3" customWidth="1"/>
    <col min="5" max="5" width="10.6640625" bestFit="1" customWidth="1"/>
    <col min="6" max="6" width="86.5" style="2" customWidth="1"/>
  </cols>
  <sheetData>
    <row r="1" spans="1:12" s="1" customFormat="1" ht="16" x14ac:dyDescent="0.2">
      <c r="A1" s="6" t="s">
        <v>20</v>
      </c>
      <c r="B1" s="6" t="s">
        <v>12</v>
      </c>
      <c r="C1" s="6" t="s">
        <v>32</v>
      </c>
      <c r="D1" s="6" t="s">
        <v>16</v>
      </c>
      <c r="E1" s="6" t="s">
        <v>17</v>
      </c>
      <c r="F1" s="6" t="s">
        <v>18</v>
      </c>
      <c r="G1" s="6"/>
      <c r="H1" s="6"/>
      <c r="I1" s="6"/>
      <c r="J1" s="6"/>
      <c r="K1" s="6"/>
      <c r="L1" s="6">
        <v>0</v>
      </c>
    </row>
    <row r="2" spans="1:12" s="1" customFormat="1" ht="16" x14ac:dyDescent="0.2">
      <c r="A2" s="6" t="s">
        <v>29</v>
      </c>
      <c r="B2" s="6"/>
      <c r="C2" s="6"/>
      <c r="D2" s="6"/>
      <c r="E2" s="6"/>
      <c r="F2" s="6"/>
      <c r="G2" s="6"/>
      <c r="H2" s="6"/>
      <c r="I2"/>
      <c r="J2"/>
      <c r="K2"/>
      <c r="L2"/>
    </row>
    <row r="3" spans="1:12" ht="16" x14ac:dyDescent="0.2">
      <c r="A3" s="6" t="s">
        <v>22</v>
      </c>
      <c r="B3" s="6" t="s">
        <v>21</v>
      </c>
      <c r="C3" s="6" t="s">
        <v>34</v>
      </c>
      <c r="D3" s="14" t="s">
        <v>112</v>
      </c>
      <c r="E3" s="6"/>
      <c r="F3" s="6"/>
      <c r="G3" s="6"/>
      <c r="H3" s="6"/>
      <c r="I3" s="6"/>
    </row>
    <row r="4" spans="1:12" ht="16" x14ac:dyDescent="0.2">
      <c r="A4" s="6" t="s">
        <v>23</v>
      </c>
      <c r="B4" s="6" t="s">
        <v>21</v>
      </c>
      <c r="C4" s="6" t="s">
        <v>34</v>
      </c>
      <c r="D4" s="6">
        <v>2023</v>
      </c>
      <c r="E4" s="6"/>
      <c r="F4" s="6"/>
      <c r="G4" s="6"/>
      <c r="H4" s="6"/>
      <c r="I4" s="6"/>
      <c r="J4" s="6"/>
      <c r="K4" s="6"/>
      <c r="L4" s="6"/>
    </row>
    <row r="5" spans="1:12" ht="16" x14ac:dyDescent="0.2">
      <c r="A5" s="6" t="s">
        <v>24</v>
      </c>
      <c r="B5" s="6" t="s">
        <v>21</v>
      </c>
      <c r="C5" s="6" t="s">
        <v>34</v>
      </c>
      <c r="D5" s="9" t="s">
        <v>65</v>
      </c>
      <c r="E5" s="6"/>
      <c r="F5" s="6"/>
      <c r="G5" s="6"/>
      <c r="H5" s="6"/>
      <c r="I5" s="6"/>
      <c r="J5" s="6"/>
    </row>
    <row r="6" spans="1:12" ht="16" x14ac:dyDescent="0.2">
      <c r="A6" s="6" t="s">
        <v>25</v>
      </c>
      <c r="B6" s="6" t="s">
        <v>21</v>
      </c>
      <c r="C6" s="6" t="s">
        <v>33</v>
      </c>
      <c r="D6" s="9" t="s">
        <v>65</v>
      </c>
      <c r="E6" s="6"/>
      <c r="F6" s="6"/>
      <c r="G6" s="6"/>
      <c r="H6" s="6"/>
      <c r="I6" s="6"/>
    </row>
    <row r="7" spans="1:12" ht="16" x14ac:dyDescent="0.2">
      <c r="A7" s="6" t="s">
        <v>26</v>
      </c>
      <c r="B7" s="6" t="s">
        <v>21</v>
      </c>
      <c r="C7" s="6" t="s">
        <v>33</v>
      </c>
      <c r="D7" s="6" t="s">
        <v>54</v>
      </c>
      <c r="E7" s="6"/>
      <c r="F7" s="6"/>
      <c r="G7" s="6"/>
      <c r="H7" s="6"/>
      <c r="I7" s="6"/>
      <c r="J7" s="6"/>
      <c r="K7" s="6"/>
      <c r="L7" s="6"/>
    </row>
    <row r="8" spans="1:12" ht="16" x14ac:dyDescent="0.2">
      <c r="A8" s="6" t="s">
        <v>27</v>
      </c>
      <c r="B8" s="6" t="s">
        <v>21</v>
      </c>
      <c r="C8" s="6" t="s">
        <v>33</v>
      </c>
      <c r="D8" s="6"/>
      <c r="E8" s="6"/>
      <c r="F8" s="6"/>
      <c r="G8" s="6"/>
      <c r="H8" s="6"/>
      <c r="I8" s="6"/>
      <c r="J8" s="6"/>
      <c r="K8" s="6"/>
      <c r="L8" s="6"/>
    </row>
    <row r="9" spans="1:12" ht="16" x14ac:dyDescent="0.2">
      <c r="A9" s="6" t="s">
        <v>28</v>
      </c>
      <c r="B9" s="6" t="s">
        <v>21</v>
      </c>
      <c r="C9" s="6" t="s">
        <v>34</v>
      </c>
      <c r="D9" s="6" t="s">
        <v>52</v>
      </c>
      <c r="E9" s="6"/>
      <c r="F9" s="6"/>
      <c r="G9" s="6"/>
      <c r="H9" s="6"/>
      <c r="I9" s="6"/>
      <c r="J9" s="6"/>
      <c r="K9" s="6"/>
      <c r="L9" s="6"/>
    </row>
    <row r="10" spans="1:12" s="1" customFormat="1" ht="16" x14ac:dyDescent="0.2">
      <c r="A10" s="6" t="s">
        <v>19</v>
      </c>
      <c r="B10"/>
      <c r="C10"/>
      <c r="D10"/>
      <c r="E10"/>
      <c r="F10"/>
      <c r="G10"/>
      <c r="H10"/>
      <c r="I10"/>
      <c r="J10"/>
      <c r="K10"/>
      <c r="L10"/>
    </row>
    <row r="11" spans="1:12" s="1" customFormat="1" ht="16" x14ac:dyDescent="0.2">
      <c r="A11" s="6" t="s">
        <v>30</v>
      </c>
      <c r="B11" s="6" t="s">
        <v>31</v>
      </c>
      <c r="C11" s="6" t="s">
        <v>33</v>
      </c>
      <c r="D11" s="6" t="s">
        <v>52</v>
      </c>
      <c r="E11" s="7">
        <v>43723</v>
      </c>
      <c r="F11" s="6" t="s">
        <v>51</v>
      </c>
      <c r="G11" s="6"/>
      <c r="H11" s="6"/>
      <c r="I11" s="6"/>
      <c r="J11" s="6"/>
      <c r="K11" s="6"/>
      <c r="L11"/>
    </row>
    <row r="12" spans="1:12" s="1" customFormat="1" ht="16" x14ac:dyDescent="0.2">
      <c r="A12" s="6" t="s">
        <v>30</v>
      </c>
      <c r="B12" s="6" t="s">
        <v>31</v>
      </c>
      <c r="C12" s="6" t="s">
        <v>33</v>
      </c>
      <c r="D12" s="6" t="s">
        <v>50</v>
      </c>
      <c r="E12" s="7">
        <v>43397</v>
      </c>
      <c r="F12" s="6" t="s">
        <v>51</v>
      </c>
      <c r="G12" s="6"/>
      <c r="H12" s="6"/>
      <c r="I12" s="6"/>
      <c r="J12" s="6"/>
      <c r="K12" s="6"/>
      <c r="L12"/>
    </row>
    <row r="13" spans="1:12" s="1" customFormat="1" ht="16" x14ac:dyDescent="0.2">
      <c r="A13" s="6" t="s">
        <v>30</v>
      </c>
      <c r="B13" s="6" t="s">
        <v>31</v>
      </c>
      <c r="C13" s="6" t="s">
        <v>33</v>
      </c>
      <c r="D13" s="6" t="s">
        <v>48</v>
      </c>
      <c r="E13" s="7">
        <v>43252</v>
      </c>
      <c r="F13" s="6" t="s">
        <v>49</v>
      </c>
      <c r="G13" s="6"/>
      <c r="H13" s="6"/>
      <c r="I13" s="6"/>
      <c r="J13" s="6"/>
      <c r="K13"/>
      <c r="L13"/>
    </row>
    <row r="14" spans="1:12" s="1" customFormat="1" ht="16" x14ac:dyDescent="0.2">
      <c r="A14" s="6" t="s">
        <v>30</v>
      </c>
      <c r="B14" s="6" t="s">
        <v>31</v>
      </c>
      <c r="C14" s="6" t="s">
        <v>33</v>
      </c>
      <c r="D14" s="6">
        <v>1.7</v>
      </c>
      <c r="E14" s="7">
        <v>43252</v>
      </c>
      <c r="F14" s="6" t="s">
        <v>47</v>
      </c>
      <c r="G14" s="6"/>
      <c r="H14" s="6"/>
      <c r="I14"/>
      <c r="J14"/>
      <c r="K14"/>
      <c r="L14"/>
    </row>
    <row r="15" spans="1:12" ht="15.75" customHeight="1" x14ac:dyDescent="0.2">
      <c r="A15" s="6" t="s">
        <v>30</v>
      </c>
      <c r="B15" s="6" t="s">
        <v>31</v>
      </c>
      <c r="C15" s="6" t="s">
        <v>33</v>
      </c>
      <c r="D15" s="6">
        <v>1</v>
      </c>
      <c r="E15" s="7">
        <v>42696</v>
      </c>
      <c r="F15" s="6" t="s">
        <v>38</v>
      </c>
    </row>
    <row r="16" spans="1:12" ht="16" x14ac:dyDescent="0.2">
      <c r="A16" s="6" t="s">
        <v>30</v>
      </c>
      <c r="B16" s="6" t="s">
        <v>31</v>
      </c>
      <c r="C16" s="6" t="s">
        <v>33</v>
      </c>
      <c r="D16" s="6">
        <v>0.1</v>
      </c>
      <c r="E16" s="7">
        <v>42685</v>
      </c>
      <c r="F16" s="6" t="s">
        <v>36</v>
      </c>
      <c r="G16" s="6"/>
      <c r="H16" s="6"/>
      <c r="I16" s="6"/>
      <c r="J16" s="6"/>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R8"/>
  <sheetViews>
    <sheetView topLeftCell="C1" zoomScaleNormal="100" workbookViewId="0">
      <selection activeCell="E18" sqref="E18"/>
    </sheetView>
  </sheetViews>
  <sheetFormatPr baseColWidth="10" defaultColWidth="8.83203125" defaultRowHeight="15" x14ac:dyDescent="0.2"/>
  <sheetData>
    <row r="1" spans="1:18" ht="108.75" customHeight="1" x14ac:dyDescent="0.2">
      <c r="A1" s="55" t="s">
        <v>45</v>
      </c>
      <c r="B1" s="55"/>
      <c r="C1" s="55"/>
      <c r="D1" s="55"/>
      <c r="E1" s="55"/>
      <c r="F1" s="55"/>
      <c r="G1" s="55"/>
      <c r="H1" s="55"/>
      <c r="I1" s="55"/>
      <c r="J1" s="55"/>
      <c r="K1" s="55"/>
      <c r="L1" s="55"/>
    </row>
    <row r="2" spans="1:18" ht="19.5" customHeight="1" x14ac:dyDescent="0.2">
      <c r="A2" s="56" t="s">
        <v>46</v>
      </c>
      <c r="B2" s="56"/>
      <c r="C2" s="56"/>
      <c r="D2" s="56"/>
      <c r="E2" s="56"/>
      <c r="F2" s="56"/>
      <c r="G2" s="56"/>
      <c r="H2" s="56"/>
      <c r="I2" s="56"/>
      <c r="J2" s="56"/>
      <c r="K2" s="56"/>
      <c r="L2" s="56"/>
    </row>
    <row r="4" spans="1:18" ht="46.5" customHeight="1" x14ac:dyDescent="0.2">
      <c r="D4" s="55" t="s">
        <v>39</v>
      </c>
      <c r="E4" s="55"/>
      <c r="F4" s="55"/>
      <c r="G4" s="55"/>
      <c r="H4" s="55"/>
      <c r="I4" s="55"/>
      <c r="J4" s="55"/>
      <c r="K4" s="55"/>
      <c r="L4" s="55"/>
      <c r="M4" s="4"/>
      <c r="N4" s="4"/>
      <c r="O4" s="4"/>
      <c r="P4" s="4"/>
      <c r="Q4" s="4"/>
      <c r="R4" s="4"/>
    </row>
    <row r="6" spans="1:18" ht="26.25" customHeight="1" x14ac:dyDescent="0.2">
      <c r="D6" s="54" t="s">
        <v>40</v>
      </c>
      <c r="E6" s="54"/>
      <c r="F6" s="54"/>
      <c r="G6" s="54"/>
      <c r="H6" s="54"/>
      <c r="I6" s="54"/>
      <c r="J6" s="54"/>
      <c r="K6" s="54"/>
      <c r="L6" s="54"/>
    </row>
    <row r="8" spans="1:18" x14ac:dyDescent="0.2">
      <c r="D8" t="s">
        <v>14</v>
      </c>
    </row>
  </sheetData>
  <mergeCells count="4">
    <mergeCell ref="D6:L6"/>
    <mergeCell ref="D4:L4"/>
    <mergeCell ref="A1:L1"/>
    <mergeCell ref="A2:L2"/>
  </mergeCells>
  <hyperlinks>
    <hyperlink ref="A2:L2" r:id="rId1" display="https://youtu.be/6E7Z9xewNng" xr:uid="{00000000-0004-0000-05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Sheet7.Button4_Click">
                <anchor moveWithCells="1" sizeWithCells="1">
                  <from>
                    <xdr:col>0</xdr:col>
                    <xdr:colOff>63500</xdr:colOff>
                    <xdr:row>7</xdr:row>
                    <xdr:rowOff>0</xdr:rowOff>
                  </from>
                  <to>
                    <xdr:col>2</xdr:col>
                    <xdr:colOff>520700</xdr:colOff>
                    <xdr:row>8</xdr:row>
                    <xdr:rowOff>177800</xdr:rowOff>
                  </to>
                </anchor>
              </controlPr>
            </control>
          </mc:Choice>
        </mc:AlternateContent>
        <mc:AlternateContent xmlns:mc="http://schemas.openxmlformats.org/markup-compatibility/2006">
          <mc:Choice Requires="x14">
            <control shapeId="9221" r:id="rId6" name="Button 5">
              <controlPr defaultSize="0" print="0" autoFill="0" autoPict="0" macro="[0]!Sheet7.Button5_Click">
                <anchor moveWithCells="1" sizeWithCells="1">
                  <from>
                    <xdr:col>0</xdr:col>
                    <xdr:colOff>63500</xdr:colOff>
                    <xdr:row>4</xdr:row>
                    <xdr:rowOff>177800</xdr:rowOff>
                  </from>
                  <to>
                    <xdr:col>2</xdr:col>
                    <xdr:colOff>508000</xdr:colOff>
                    <xdr:row>5</xdr:row>
                    <xdr:rowOff>330200</xdr:rowOff>
                  </to>
                </anchor>
              </controlPr>
            </control>
          </mc:Choice>
        </mc:AlternateContent>
        <mc:AlternateContent xmlns:mc="http://schemas.openxmlformats.org/markup-compatibility/2006">
          <mc:Choice Requires="x14">
            <control shapeId="9222" r:id="rId7" name="Button 6">
              <controlPr defaultSize="0" print="0" autoFill="0" autoPict="0" macro="[0]!Sheet7.Button6_Click">
                <anchor moveWithCells="1" sizeWithCells="1">
                  <from>
                    <xdr:col>0</xdr:col>
                    <xdr:colOff>63500</xdr:colOff>
                    <xdr:row>3</xdr:row>
                    <xdr:rowOff>12700</xdr:rowOff>
                  </from>
                  <to>
                    <xdr:col>2</xdr:col>
                    <xdr:colOff>520700</xdr:colOff>
                    <xdr:row>3</xdr:row>
                    <xdr:rowOff>368300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D109-A424-2843-9874-FB0D2441AA73}">
  <sheetPr codeName="Sheet9"/>
  <dimension ref="A1:K72"/>
  <sheetViews>
    <sheetView zoomScale="75" zoomScaleNormal="85" workbookViewId="0">
      <pane ySplit="2" topLeftCell="A34" activePane="bottomLeft" state="frozen"/>
      <selection activeCell="I17" sqref="I17"/>
      <selection pane="bottomLeft" activeCell="E31" sqref="E31:H50"/>
    </sheetView>
  </sheetViews>
  <sheetFormatPr baseColWidth="10" defaultColWidth="8.83203125" defaultRowHeight="15" x14ac:dyDescent="0.2"/>
  <cols>
    <col min="4" max="4" width="20.33203125" customWidth="1"/>
    <col min="5" max="8" width="21" customWidth="1"/>
  </cols>
  <sheetData>
    <row r="1" spans="1:8" x14ac:dyDescent="0.2">
      <c r="A1" t="s">
        <v>290</v>
      </c>
    </row>
    <row r="2" spans="1:8" s="1" customFormat="1" x14ac:dyDescent="0.2">
      <c r="A2" t="s">
        <v>91</v>
      </c>
      <c r="B2" t="s">
        <v>75</v>
      </c>
      <c r="C2" t="s">
        <v>92</v>
      </c>
      <c r="D2" t="s">
        <v>9</v>
      </c>
      <c r="F2"/>
      <c r="H2"/>
    </row>
    <row r="3" spans="1:8" ht="16" x14ac:dyDescent="0.2">
      <c r="A3" s="16" t="s">
        <v>76</v>
      </c>
      <c r="B3" t="s">
        <v>78</v>
      </c>
      <c r="D3" s="11" t="s">
        <v>77</v>
      </c>
    </row>
    <row r="4" spans="1:8" ht="16" x14ac:dyDescent="0.2">
      <c r="A4" s="16" t="s">
        <v>79</v>
      </c>
      <c r="B4" t="s">
        <v>78</v>
      </c>
      <c r="D4" s="11" t="s">
        <v>80</v>
      </c>
    </row>
    <row r="5" spans="1:8" ht="16" x14ac:dyDescent="0.2">
      <c r="A5" s="10" t="s">
        <v>81</v>
      </c>
      <c r="B5" t="s">
        <v>78</v>
      </c>
      <c r="D5" s="11" t="s">
        <v>82</v>
      </c>
    </row>
    <row r="6" spans="1:8" ht="16" x14ac:dyDescent="0.2">
      <c r="A6" s="16" t="s">
        <v>83</v>
      </c>
      <c r="B6" t="s">
        <v>78</v>
      </c>
      <c r="D6" s="11" t="s">
        <v>84</v>
      </c>
    </row>
    <row r="7" spans="1:8" ht="16" x14ac:dyDescent="0.2">
      <c r="A7" s="10" t="s">
        <v>85</v>
      </c>
      <c r="B7" t="s">
        <v>78</v>
      </c>
      <c r="D7" s="11" t="s">
        <v>86</v>
      </c>
    </row>
    <row r="8" spans="1:8" ht="16" x14ac:dyDescent="0.2">
      <c r="A8" s="10" t="s">
        <v>87</v>
      </c>
      <c r="B8" t="s">
        <v>78</v>
      </c>
      <c r="D8" s="11" t="s">
        <v>88</v>
      </c>
    </row>
    <row r="9" spans="1:8" ht="16" x14ac:dyDescent="0.2">
      <c r="A9" s="10" t="s">
        <v>89</v>
      </c>
      <c r="B9" t="s">
        <v>78</v>
      </c>
      <c r="D9" s="11" t="s">
        <v>90</v>
      </c>
    </row>
    <row r="10" spans="1:8" ht="16" x14ac:dyDescent="0.2">
      <c r="A10" s="10"/>
    </row>
    <row r="11" spans="1:8" ht="16" x14ac:dyDescent="0.2">
      <c r="A11" s="25" t="s">
        <v>295</v>
      </c>
      <c r="D11" s="11" t="s">
        <v>296</v>
      </c>
      <c r="E11" t="s">
        <v>297</v>
      </c>
      <c r="G11" t="s">
        <v>297</v>
      </c>
    </row>
    <row r="12" spans="1:8" ht="16" x14ac:dyDescent="0.2">
      <c r="A12" s="25" t="s">
        <v>298</v>
      </c>
      <c r="D12" s="11" t="s">
        <v>299</v>
      </c>
      <c r="E12" t="s">
        <v>300</v>
      </c>
      <c r="G12" t="s">
        <v>300</v>
      </c>
    </row>
    <row r="13" spans="1:8" ht="16" x14ac:dyDescent="0.2">
      <c r="A13" s="25" t="s">
        <v>303</v>
      </c>
      <c r="D13" s="11" t="s">
        <v>302</v>
      </c>
      <c r="E13" t="s">
        <v>304</v>
      </c>
      <c r="G13" t="s">
        <v>304</v>
      </c>
    </row>
    <row r="14" spans="1:8" ht="16" x14ac:dyDescent="0.2">
      <c r="D14" s="11" t="s">
        <v>305</v>
      </c>
      <c r="E14" t="s">
        <v>306</v>
      </c>
      <c r="G14" t="s">
        <v>306</v>
      </c>
    </row>
    <row r="15" spans="1:8" ht="16" x14ac:dyDescent="0.2">
      <c r="D15" s="11" t="s">
        <v>307</v>
      </c>
      <c r="E15" t="s">
        <v>308</v>
      </c>
      <c r="G15" t="s">
        <v>308</v>
      </c>
    </row>
    <row r="16" spans="1:8" ht="16" x14ac:dyDescent="0.2">
      <c r="D16" s="11" t="s">
        <v>309</v>
      </c>
      <c r="E16" t="s">
        <v>310</v>
      </c>
      <c r="G16" t="s">
        <v>310</v>
      </c>
    </row>
    <row r="17" spans="4:11" ht="16" x14ac:dyDescent="0.2">
      <c r="D17" s="11" t="s">
        <v>312</v>
      </c>
    </row>
    <row r="31" spans="4:11" ht="38" customHeight="1" x14ac:dyDescent="0.2">
      <c r="E31" s="60" t="s">
        <v>481</v>
      </c>
      <c r="F31" s="60" t="s">
        <v>481</v>
      </c>
      <c r="G31" s="60" t="s">
        <v>481</v>
      </c>
      <c r="H31" s="60" t="s">
        <v>481</v>
      </c>
      <c r="K31" s="11" t="s">
        <v>292</v>
      </c>
    </row>
    <row r="32" spans="4:11" ht="38" customHeight="1" x14ac:dyDescent="0.2">
      <c r="E32" s="60" t="s">
        <v>481</v>
      </c>
      <c r="F32" s="60" t="s">
        <v>481</v>
      </c>
      <c r="G32" s="60" t="s">
        <v>481</v>
      </c>
      <c r="H32" s="60" t="s">
        <v>481</v>
      </c>
      <c r="K32" s="11" t="s">
        <v>207</v>
      </c>
    </row>
    <row r="33" spans="5:11" ht="38" customHeight="1" x14ac:dyDescent="0.2">
      <c r="E33" s="60" t="s">
        <v>481</v>
      </c>
      <c r="F33" s="60" t="s">
        <v>481</v>
      </c>
      <c r="G33" s="60" t="s">
        <v>481</v>
      </c>
      <c r="H33" s="60" t="s">
        <v>481</v>
      </c>
      <c r="K33" s="11" t="s">
        <v>469</v>
      </c>
    </row>
    <row r="34" spans="5:11" ht="38" customHeight="1" x14ac:dyDescent="0.2">
      <c r="E34" s="60" t="s">
        <v>482</v>
      </c>
      <c r="F34" s="60" t="s">
        <v>482</v>
      </c>
      <c r="G34" s="60" t="s">
        <v>482</v>
      </c>
      <c r="H34" s="60" t="s">
        <v>482</v>
      </c>
      <c r="K34" s="11" t="s">
        <v>203</v>
      </c>
    </row>
    <row r="35" spans="5:11" ht="38" customHeight="1" x14ac:dyDescent="0.2">
      <c r="E35" s="60" t="s">
        <v>482</v>
      </c>
      <c r="F35" s="60" t="s">
        <v>482</v>
      </c>
      <c r="G35" s="60" t="s">
        <v>482</v>
      </c>
      <c r="H35" s="60" t="s">
        <v>482</v>
      </c>
      <c r="K35" s="11" t="s">
        <v>472</v>
      </c>
    </row>
    <row r="36" spans="5:11" ht="38" customHeight="1" x14ac:dyDescent="0.2">
      <c r="E36" s="60" t="s">
        <v>483</v>
      </c>
      <c r="F36" s="60" t="s">
        <v>483</v>
      </c>
      <c r="G36" s="60" t="s">
        <v>483</v>
      </c>
      <c r="H36" s="60" t="s">
        <v>483</v>
      </c>
      <c r="K36" s="11" t="s">
        <v>197</v>
      </c>
    </row>
    <row r="37" spans="5:11" ht="38" customHeight="1" x14ac:dyDescent="0.2">
      <c r="E37" s="60" t="s">
        <v>483</v>
      </c>
      <c r="F37" s="60" t="s">
        <v>483</v>
      </c>
      <c r="G37" s="60" t="s">
        <v>483</v>
      </c>
      <c r="H37" s="60" t="s">
        <v>483</v>
      </c>
      <c r="K37" s="11" t="s">
        <v>293</v>
      </c>
    </row>
    <row r="38" spans="5:11" ht="38" customHeight="1" x14ac:dyDescent="0.2">
      <c r="E38" s="60" t="s">
        <v>484</v>
      </c>
      <c r="F38" s="60" t="s">
        <v>484</v>
      </c>
      <c r="G38" s="60" t="s">
        <v>484</v>
      </c>
      <c r="H38" s="60" t="s">
        <v>484</v>
      </c>
      <c r="K38" s="11" t="s">
        <v>470</v>
      </c>
    </row>
    <row r="39" spans="5:11" ht="38" customHeight="1" x14ac:dyDescent="0.2">
      <c r="E39" s="60" t="s">
        <v>484</v>
      </c>
      <c r="F39" s="60" t="s">
        <v>484</v>
      </c>
      <c r="G39" s="60" t="s">
        <v>484</v>
      </c>
      <c r="H39" s="60" t="s">
        <v>484</v>
      </c>
      <c r="K39" s="11" t="s">
        <v>291</v>
      </c>
    </row>
    <row r="40" spans="5:11" ht="38" customHeight="1" x14ac:dyDescent="0.2">
      <c r="E40" s="60" t="s">
        <v>485</v>
      </c>
      <c r="F40" s="60" t="s">
        <v>485</v>
      </c>
      <c r="G40" s="60" t="s">
        <v>485</v>
      </c>
      <c r="H40" s="60" t="s">
        <v>485</v>
      </c>
      <c r="K40" s="11" t="s">
        <v>471</v>
      </c>
    </row>
    <row r="41" spans="5:11" ht="38" customHeight="1" x14ac:dyDescent="0.2">
      <c r="E41" s="60" t="s">
        <v>486</v>
      </c>
      <c r="F41" s="60" t="s">
        <v>486</v>
      </c>
      <c r="G41" s="60" t="s">
        <v>486</v>
      </c>
      <c r="H41" s="60" t="s">
        <v>486</v>
      </c>
      <c r="K41" s="11" t="s">
        <v>475</v>
      </c>
    </row>
    <row r="42" spans="5:11" ht="38" customHeight="1" x14ac:dyDescent="0.2">
      <c r="E42" s="60" t="s">
        <v>487</v>
      </c>
      <c r="F42" s="60" t="s">
        <v>487</v>
      </c>
      <c r="G42" s="60" t="s">
        <v>487</v>
      </c>
      <c r="H42" s="60" t="s">
        <v>487</v>
      </c>
      <c r="K42" s="11" t="s">
        <v>294</v>
      </c>
    </row>
    <row r="43" spans="5:11" ht="38" customHeight="1" x14ac:dyDescent="0.2">
      <c r="E43" s="60" t="s">
        <v>488</v>
      </c>
      <c r="F43" s="60" t="s">
        <v>488</v>
      </c>
      <c r="G43" s="60" t="s">
        <v>488</v>
      </c>
      <c r="H43" s="60" t="s">
        <v>488</v>
      </c>
      <c r="K43" s="11" t="s">
        <v>474</v>
      </c>
    </row>
    <row r="44" spans="5:11" ht="38" customHeight="1" x14ac:dyDescent="0.2">
      <c r="E44" s="60" t="s">
        <v>488</v>
      </c>
      <c r="F44" s="60" t="s">
        <v>488</v>
      </c>
      <c r="G44" s="60" t="s">
        <v>488</v>
      </c>
      <c r="H44" s="60" t="s">
        <v>488</v>
      </c>
      <c r="K44" s="11" t="s">
        <v>473</v>
      </c>
    </row>
    <row r="45" spans="5:11" ht="38" customHeight="1" x14ac:dyDescent="0.2">
      <c r="E45" s="60" t="s">
        <v>483</v>
      </c>
      <c r="F45" s="60" t="s">
        <v>483</v>
      </c>
      <c r="G45" s="60" t="s">
        <v>483</v>
      </c>
      <c r="H45" s="60" t="s">
        <v>483</v>
      </c>
    </row>
    <row r="46" spans="5:11" ht="38" customHeight="1" x14ac:dyDescent="0.2">
      <c r="E46" s="60" t="s">
        <v>483</v>
      </c>
      <c r="F46" s="60" t="s">
        <v>483</v>
      </c>
      <c r="G46" s="60" t="s">
        <v>483</v>
      </c>
      <c r="H46" s="60" t="s">
        <v>483</v>
      </c>
    </row>
    <row r="47" spans="5:11" ht="38" customHeight="1" x14ac:dyDescent="0.2">
      <c r="E47" s="60" t="s">
        <v>489</v>
      </c>
      <c r="F47" s="60" t="s">
        <v>489</v>
      </c>
      <c r="G47" s="60" t="s">
        <v>489</v>
      </c>
      <c r="H47" s="60" t="s">
        <v>489</v>
      </c>
    </row>
    <row r="48" spans="5:11" ht="38" customHeight="1" x14ac:dyDescent="0.25">
      <c r="E48" s="60" t="s">
        <v>490</v>
      </c>
      <c r="F48" s="60" t="s">
        <v>490</v>
      </c>
      <c r="G48" s="61" t="s">
        <v>495</v>
      </c>
      <c r="H48" s="61" t="s">
        <v>495</v>
      </c>
    </row>
    <row r="49" spans="5:9" ht="38" customHeight="1" x14ac:dyDescent="0.2">
      <c r="E49" s="60" t="s">
        <v>491</v>
      </c>
      <c r="F49" s="60" t="s">
        <v>491</v>
      </c>
      <c r="G49" s="60" t="s">
        <v>491</v>
      </c>
      <c r="H49" s="60" t="s">
        <v>491</v>
      </c>
    </row>
    <row r="50" spans="5:9" ht="38" customHeight="1" x14ac:dyDescent="0.2">
      <c r="E50" s="60" t="s">
        <v>491</v>
      </c>
      <c r="F50" s="60" t="s">
        <v>491</v>
      </c>
      <c r="G50" s="60" t="s">
        <v>491</v>
      </c>
      <c r="H50" s="60" t="s">
        <v>494</v>
      </c>
    </row>
    <row r="51" spans="5:9" ht="38" customHeight="1" x14ac:dyDescent="0.25">
      <c r="E51" s="60"/>
      <c r="F51" s="26"/>
      <c r="G51" s="26"/>
      <c r="H51" s="26"/>
    </row>
    <row r="52" spans="5:9" ht="19" x14ac:dyDescent="0.25">
      <c r="E52" s="27"/>
      <c r="F52" s="27"/>
      <c r="G52" s="27"/>
      <c r="H52" s="27"/>
    </row>
    <row r="53" spans="5:9" ht="38" customHeight="1" x14ac:dyDescent="0.25">
      <c r="E53" s="27"/>
      <c r="F53" s="27"/>
      <c r="G53" s="27"/>
      <c r="H53" s="27"/>
    </row>
    <row r="54" spans="5:9" ht="38" customHeight="1" x14ac:dyDescent="0.25">
      <c r="E54" s="27"/>
      <c r="F54" s="27"/>
      <c r="G54" s="27"/>
      <c r="H54" s="27"/>
    </row>
    <row r="55" spans="5:9" ht="38" customHeight="1" x14ac:dyDescent="0.25">
      <c r="E55" s="27"/>
      <c r="F55" s="27"/>
      <c r="G55" s="27"/>
      <c r="H55" s="27"/>
    </row>
    <row r="56" spans="5:9" ht="38" customHeight="1" x14ac:dyDescent="0.2">
      <c r="E56" t="s">
        <v>9</v>
      </c>
      <c r="F56" t="s">
        <v>524</v>
      </c>
      <c r="G56" t="s">
        <v>525</v>
      </c>
      <c r="H56" t="s">
        <v>522</v>
      </c>
      <c r="I56" t="s">
        <v>523</v>
      </c>
    </row>
    <row r="57" spans="5:9" ht="16" x14ac:dyDescent="0.2">
      <c r="E57" s="11" t="s">
        <v>203</v>
      </c>
      <c r="F57">
        <v>0.47408343868520858</v>
      </c>
      <c r="G57">
        <v>0.12903225806451613</v>
      </c>
      <c r="H57">
        <v>6</v>
      </c>
      <c r="I57">
        <v>9</v>
      </c>
    </row>
    <row r="58" spans="5:9" ht="16" x14ac:dyDescent="0.2">
      <c r="E58" s="11" t="s">
        <v>472</v>
      </c>
      <c r="F58">
        <v>0.17699115044247787</v>
      </c>
      <c r="G58">
        <v>0.16129032258064516</v>
      </c>
      <c r="H58">
        <v>10</v>
      </c>
      <c r="I58">
        <v>5</v>
      </c>
    </row>
    <row r="59" spans="5:9" ht="16" x14ac:dyDescent="0.2">
      <c r="E59" s="11" t="s">
        <v>294</v>
      </c>
      <c r="F59">
        <v>0.16434892541087232</v>
      </c>
      <c r="G59">
        <v>9.6774193548387094E-2</v>
      </c>
      <c r="H59">
        <v>8</v>
      </c>
      <c r="I59">
        <v>2</v>
      </c>
    </row>
    <row r="60" spans="5:9" ht="16" x14ac:dyDescent="0.2">
      <c r="E60" s="11" t="s">
        <v>197</v>
      </c>
      <c r="F60">
        <v>7.5853350189633378E-2</v>
      </c>
      <c r="G60">
        <v>6.4516129032258063E-2</v>
      </c>
      <c r="H60">
        <v>375</v>
      </c>
      <c r="I60">
        <v>8</v>
      </c>
    </row>
    <row r="61" spans="5:9" ht="16" x14ac:dyDescent="0.2">
      <c r="E61" s="11" t="s">
        <v>291</v>
      </c>
      <c r="F61">
        <v>6.3211125158027806E-2</v>
      </c>
      <c r="G61">
        <v>0.20967741935483872</v>
      </c>
      <c r="H61">
        <v>140</v>
      </c>
      <c r="I61">
        <v>10</v>
      </c>
    </row>
    <row r="62" spans="5:9" ht="16" x14ac:dyDescent="0.2">
      <c r="E62" s="11" t="s">
        <v>207</v>
      </c>
      <c r="F62">
        <v>1.2642225031605562E-2</v>
      </c>
      <c r="G62">
        <v>8.0645161290322578E-2</v>
      </c>
      <c r="H62">
        <v>60</v>
      </c>
      <c r="I62">
        <v>4</v>
      </c>
    </row>
    <row r="63" spans="5:9" ht="16" x14ac:dyDescent="0.2">
      <c r="E63" s="11" t="s">
        <v>469</v>
      </c>
      <c r="F63">
        <v>1.0113780025284451E-2</v>
      </c>
      <c r="G63">
        <v>3.2258064516129031E-2</v>
      </c>
      <c r="H63">
        <v>2</v>
      </c>
      <c r="I63">
        <v>0</v>
      </c>
    </row>
    <row r="64" spans="5:9" ht="16" x14ac:dyDescent="0.2">
      <c r="E64" s="11" t="s">
        <v>292</v>
      </c>
      <c r="F64">
        <v>7.5853350189633373E-3</v>
      </c>
      <c r="G64">
        <v>0.14516129032258066</v>
      </c>
      <c r="H64">
        <v>1</v>
      </c>
      <c r="I64">
        <v>0</v>
      </c>
    </row>
    <row r="65" spans="5:9" ht="16" x14ac:dyDescent="0.2">
      <c r="E65" s="11" t="s">
        <v>475</v>
      </c>
      <c r="F65">
        <v>6.321112515802781E-3</v>
      </c>
      <c r="G65">
        <v>0</v>
      </c>
      <c r="H65">
        <v>50</v>
      </c>
      <c r="I65">
        <v>13</v>
      </c>
    </row>
    <row r="66" spans="5:9" ht="16" x14ac:dyDescent="0.2">
      <c r="E66" s="11" t="s">
        <v>471</v>
      </c>
      <c r="F66">
        <v>3.7926675094816687E-3</v>
      </c>
      <c r="G66">
        <v>1.6129032258064516E-2</v>
      </c>
      <c r="H66">
        <v>3</v>
      </c>
      <c r="I66">
        <v>1</v>
      </c>
    </row>
    <row r="67" spans="5:9" ht="16" x14ac:dyDescent="0.2">
      <c r="E67" s="11" t="s">
        <v>293</v>
      </c>
      <c r="F67">
        <v>2.5284450063211127E-3</v>
      </c>
      <c r="G67">
        <v>0</v>
      </c>
      <c r="H67">
        <v>5</v>
      </c>
      <c r="I67">
        <v>0</v>
      </c>
    </row>
    <row r="68" spans="5:9" ht="16" x14ac:dyDescent="0.2">
      <c r="E68" s="11" t="s">
        <v>470</v>
      </c>
      <c r="F68">
        <v>1.2642225031605564E-3</v>
      </c>
      <c r="G68">
        <v>0</v>
      </c>
      <c r="H68">
        <v>130</v>
      </c>
      <c r="I68">
        <v>6</v>
      </c>
    </row>
    <row r="69" spans="5:9" ht="16" x14ac:dyDescent="0.2">
      <c r="E69" s="11" t="s">
        <v>514</v>
      </c>
      <c r="F69">
        <v>1.2642225031605564E-3</v>
      </c>
      <c r="G69">
        <v>0</v>
      </c>
    </row>
    <row r="70" spans="5:9" ht="16" x14ac:dyDescent="0.2">
      <c r="E70" s="11" t="s">
        <v>473</v>
      </c>
      <c r="F70">
        <v>0</v>
      </c>
      <c r="G70">
        <v>3.2258064516129031E-2</v>
      </c>
      <c r="H70">
        <v>0</v>
      </c>
      <c r="I70">
        <v>2</v>
      </c>
    </row>
    <row r="71" spans="5:9" ht="16" x14ac:dyDescent="0.2">
      <c r="E71" s="11" t="s">
        <v>492</v>
      </c>
      <c r="F71">
        <v>0</v>
      </c>
      <c r="G71">
        <v>3.2258064516129031E-2</v>
      </c>
      <c r="H71">
        <v>1</v>
      </c>
      <c r="I71">
        <v>0</v>
      </c>
    </row>
    <row r="72" spans="5:9" x14ac:dyDescent="0.2">
      <c r="H72">
        <f>SUM(H57:H71)</f>
        <v>791</v>
      </c>
      <c r="I72">
        <f>SUM(I57:I71)</f>
        <v>60</v>
      </c>
    </row>
  </sheetData>
  <sortState xmlns:xlrd2="http://schemas.microsoft.com/office/spreadsheetml/2017/richdata2" ref="E57:G71">
    <sortCondition descending="1" ref="F57:F71"/>
  </sortState>
  <phoneticPr fontId="37" type="noConversion"/>
  <pageMargins left="0.25" right="0.25"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taxa</vt:lpstr>
      <vt:lpstr>characters</vt:lpstr>
      <vt:lpstr>values</vt:lpstr>
      <vt:lpstr>media</vt:lpstr>
      <vt:lpstr>config</vt:lpstr>
      <vt:lpstr>macros</vt:lpstr>
      <vt:lpstr>Notes</vt:lpstr>
      <vt:lpstr>Notes!Print_Area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Burkmar</dc:creator>
  <cp:lastModifiedBy>David Cappaert</cp:lastModifiedBy>
  <cp:lastPrinted>2023-03-01T06:14:56Z</cp:lastPrinted>
  <dcterms:created xsi:type="dcterms:W3CDTF">2015-11-24T14:25:35Z</dcterms:created>
  <dcterms:modified xsi:type="dcterms:W3CDTF">2023-03-03T05:51:38Z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47a1d844-d18c-40b7-9fbd-cb9d360259fe</vt:lpwstr>
  </property>
</Properties>
</file>